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evamiento_educacion" sheetId="1" r:id="rId5"/>
  </sheets>
  <definedNames>
    <definedName hidden="1" localSheetId="0" name="_xlnm._FilterDatabase">relevamiento_educacion!$A$1:$AC$1059</definedName>
  </definedNames>
  <calcPr/>
</workbook>
</file>

<file path=xl/sharedStrings.xml><?xml version="1.0" encoding="utf-8"?>
<sst xmlns="http://schemas.openxmlformats.org/spreadsheetml/2006/main" count="2155" uniqueCount="1052">
  <si>
    <t>cueanexo</t>
  </si>
  <si>
    <t>NIVEL</t>
  </si>
  <si>
    <t>ESCUELA</t>
  </si>
  <si>
    <t>NOMBRE</t>
  </si>
  <si>
    <t>DIRECCIÓN</t>
  </si>
  <si>
    <t>X</t>
  </si>
  <si>
    <t>Y</t>
  </si>
  <si>
    <t>MAIL/CONTACTO</t>
  </si>
  <si>
    <t>GESTIÓN</t>
  </si>
  <si>
    <t>TURNO</t>
  </si>
  <si>
    <t>SITUACIÓN DE MAPEO</t>
  </si>
  <si>
    <t>CUPOS SAE 2024 INICIAL</t>
  </si>
  <si>
    <t>CUPOS SAE 2024 FINAL</t>
  </si>
  <si>
    <t>CUPOS SAE 2025 INICIAL</t>
  </si>
  <si>
    <t>0117SC0001</t>
  </si>
  <si>
    <t>ESPECIAL</t>
  </si>
  <si>
    <t>CEC 801</t>
  </si>
  <si>
    <t>Paso y Lorca s/n</t>
  </si>
  <si>
    <t>cec801tresdefebrero@abc.gob.ar</t>
  </si>
  <si>
    <t>PBA</t>
  </si>
  <si>
    <t>M-T</t>
  </si>
  <si>
    <t>Validado</t>
  </si>
  <si>
    <t>0117FC0123</t>
  </si>
  <si>
    <t>CEF 123</t>
  </si>
  <si>
    <t>Lisandro de la Torre 3855</t>
  </si>
  <si>
    <t>cef123tresdefebrero@abc.gob.ar</t>
  </si>
  <si>
    <t>M-T-V</t>
  </si>
  <si>
    <t>0117EE0501</t>
  </si>
  <si>
    <t>EE 501</t>
  </si>
  <si>
    <t>Labardén y Bolivia</t>
  </si>
  <si>
    <t>especial501tresdefebrero@abc.gob.ar</t>
  </si>
  <si>
    <t>0117EE0502</t>
  </si>
  <si>
    <t>EE 502</t>
  </si>
  <si>
    <t>Sgto.Palma 1333</t>
  </si>
  <si>
    <t>especial502tresdefebrero@abc.gob.ar</t>
  </si>
  <si>
    <t>0117EE0503</t>
  </si>
  <si>
    <t>EE 503</t>
  </si>
  <si>
    <t>Sarmiento 4460</t>
  </si>
  <si>
    <t>especial503tresdefebrero@abc.gob.ar</t>
  </si>
  <si>
    <t>0117PP0001</t>
  </si>
  <si>
    <t>PRIMARIA</t>
  </si>
  <si>
    <t>EP 01</t>
  </si>
  <si>
    <t>W. de Tata 4930</t>
  </si>
  <si>
    <t>primaria1tresdefebrero@abc.gob.ar</t>
  </si>
  <si>
    <t>M</t>
  </si>
  <si>
    <t>0117PP0002</t>
  </si>
  <si>
    <t>EP 02</t>
  </si>
  <si>
    <t>Urquiza 4417</t>
  </si>
  <si>
    <t>primaria2tresdefebrero@abc.gob.ar</t>
  </si>
  <si>
    <t>T</t>
  </si>
  <si>
    <t xml:space="preserve">0117PP0003
</t>
  </si>
  <si>
    <t>EP 03</t>
  </si>
  <si>
    <t>Garcia Lorca 2768</t>
  </si>
  <si>
    <t>primaria3tresdefebrero@abc.gob.ar</t>
  </si>
  <si>
    <t>J-C</t>
  </si>
  <si>
    <t>0117PP0004</t>
  </si>
  <si>
    <t>EP 04</t>
  </si>
  <si>
    <t>Puán 4851</t>
  </si>
  <si>
    <t>primaria4tresdefebrero@abc.gob.ar</t>
  </si>
  <si>
    <t>0117PP0005</t>
  </si>
  <si>
    <t>EP 05</t>
  </si>
  <si>
    <t>Larralde 1521</t>
  </si>
  <si>
    <t>primaria5tresdefebrero@abc.gob.ar</t>
  </si>
  <si>
    <t>0117PP0006</t>
  </si>
  <si>
    <t>EP 06</t>
  </si>
  <si>
    <t>Almafuerte 3390</t>
  </si>
  <si>
    <t>primaria6tresdefebrero@abc.gob.ar</t>
  </si>
  <si>
    <t>0117PP0007</t>
  </si>
  <si>
    <t>EP 07</t>
  </si>
  <si>
    <t>Spandonari 3369</t>
  </si>
  <si>
    <t>primaria7tresdefebrero@abc.gob.ar</t>
  </si>
  <si>
    <t>0117PP0008</t>
  </si>
  <si>
    <t>EP 08</t>
  </si>
  <si>
    <t>Carlos Tejedor 4549</t>
  </si>
  <si>
    <t>primaria8tresdefebrero@abc.gob.ar</t>
  </si>
  <si>
    <t>T-T</t>
  </si>
  <si>
    <t xml:space="preserve">0117PP0009
</t>
  </si>
  <si>
    <t>EP 09</t>
  </si>
  <si>
    <t>Moreno 5750</t>
  </si>
  <si>
    <t>primaria9tresdefebrero@abc.gob.ar</t>
  </si>
  <si>
    <t>0117PP0011</t>
  </si>
  <si>
    <t>EP 11</t>
  </si>
  <si>
    <t>Angel Pini 5256</t>
  </si>
  <si>
    <t>primaria11tresdefebrero@abc.gob.ar</t>
  </si>
  <si>
    <t>0117PP0012</t>
  </si>
  <si>
    <t>EP 12</t>
  </si>
  <si>
    <t>Andres Ferreyra 2679</t>
  </si>
  <si>
    <t>primaria12tresdefebrero@abc.gob.ar</t>
  </si>
  <si>
    <t>0117PP0013</t>
  </si>
  <si>
    <t>EP 13</t>
  </si>
  <si>
    <t>Paso y Lorca</t>
  </si>
  <si>
    <t>primaria13tresdefebrero@abc.gob.ar</t>
  </si>
  <si>
    <t>0117PP0014</t>
  </si>
  <si>
    <t>EP 14</t>
  </si>
  <si>
    <t>A. Williams 1340</t>
  </si>
  <si>
    <t>primaria14tresdefebrero@abc.gob.ar</t>
  </si>
  <si>
    <t>0117PP0015</t>
  </si>
  <si>
    <t>EP 15</t>
  </si>
  <si>
    <t>Serrano 2775</t>
  </si>
  <si>
    <t>primaria15tresdefebrero@abc.gob.ar</t>
  </si>
  <si>
    <t>0117PP0016</t>
  </si>
  <si>
    <t>EP 16</t>
  </si>
  <si>
    <t>Gaucho Cruz 5644</t>
  </si>
  <si>
    <t>primaria16tresdefebrero@abc.gob.ar</t>
  </si>
  <si>
    <t>0117PP0017</t>
  </si>
  <si>
    <t>EP 17</t>
  </si>
  <si>
    <t>Matienzo 2495</t>
  </si>
  <si>
    <t>primaria17tresdefebrero@abc.gob.ar</t>
  </si>
  <si>
    <t>0117PP0019</t>
  </si>
  <si>
    <t>EP 19</t>
  </si>
  <si>
    <t>Beazley 1298</t>
  </si>
  <si>
    <t>primaria19tresdefebrero@abc.gob.ar</t>
  </si>
  <si>
    <t>0117PP0020</t>
  </si>
  <si>
    <t>EP 20</t>
  </si>
  <si>
    <t>Laprida 4720</t>
  </si>
  <si>
    <t>primaria20tresdefebrero@abc.gob.ar</t>
  </si>
  <si>
    <t>0117PP0021</t>
  </si>
  <si>
    <t>EP 21</t>
  </si>
  <si>
    <t>Las Malvinas 7216</t>
  </si>
  <si>
    <t>primaria21tresdefebrero@abc.gob.ar</t>
  </si>
  <si>
    <t>0117PP0022</t>
  </si>
  <si>
    <t>EP 22</t>
  </si>
  <si>
    <t>Gral Lopez 1594</t>
  </si>
  <si>
    <t>primaria22tresdefebrero@abc.gob.ar</t>
  </si>
  <si>
    <t>0117PP0023</t>
  </si>
  <si>
    <t>EP 23</t>
  </si>
  <si>
    <t>José Ingenieros 1605</t>
  </si>
  <si>
    <t>primaria23tresdefebrero@abc.gob.ar</t>
  </si>
  <si>
    <t>0117PP0024</t>
  </si>
  <si>
    <t>EP 24</t>
  </si>
  <si>
    <t>Santos Vega 6920</t>
  </si>
  <si>
    <t>primaria24tresdefebrero@abc.gob.ar</t>
  </si>
  <si>
    <t>0117PP0025</t>
  </si>
  <si>
    <t>EP 25</t>
  </si>
  <si>
    <t>9 de Julio 1950</t>
  </si>
  <si>
    <t>primaria25tresdefebrero@abc.gob.ar</t>
  </si>
  <si>
    <t>0117PP0026</t>
  </si>
  <si>
    <t>EP 26</t>
  </si>
  <si>
    <t>Barragán 773</t>
  </si>
  <si>
    <t>primaria26tresdefebrero@abc.gob.ar</t>
  </si>
  <si>
    <t>0117PP0027</t>
  </si>
  <si>
    <t>EP 27</t>
  </si>
  <si>
    <t>Tres Lomas 514</t>
  </si>
  <si>
    <t>primaria27tresdefebrero@abc.gob.ar</t>
  </si>
  <si>
    <t>0117PP0028</t>
  </si>
  <si>
    <t>EP 28</t>
  </si>
  <si>
    <t>Los Jacarandaes 3035</t>
  </si>
  <si>
    <t>primaria28tresdefebrero@abc.gob.ar</t>
  </si>
  <si>
    <t>0117PP0029</t>
  </si>
  <si>
    <t>EP 29</t>
  </si>
  <si>
    <t>Padre Elizalde 102</t>
  </si>
  <si>
    <t>primaria29tresdefebrero@abc.gob.ar</t>
  </si>
  <si>
    <t>0117PP0030</t>
  </si>
  <si>
    <t>EP 30</t>
  </si>
  <si>
    <t>Metzig 1652</t>
  </si>
  <si>
    <t>primaria30tresdefebrero@abc.gob.ar</t>
  </si>
  <si>
    <t>0117PP0031</t>
  </si>
  <si>
    <t>EP 31</t>
  </si>
  <si>
    <t>San Martín 440</t>
  </si>
  <si>
    <t>primaria31tresdefebrero@abc.gob.ar</t>
  </si>
  <si>
    <t>0117PP0032</t>
  </si>
  <si>
    <t>EP 32</t>
  </si>
  <si>
    <t>Nolting 3421</t>
  </si>
  <si>
    <t>primaria32tresdefebrero@abc.gob.ar</t>
  </si>
  <si>
    <t>0117PP0037</t>
  </si>
  <si>
    <t>EP 37</t>
  </si>
  <si>
    <t>Manuela Pedraza 737</t>
  </si>
  <si>
    <t>primaria37tresdefebrero@abc.gob.ar</t>
  </si>
  <si>
    <t>0117PP0043</t>
  </si>
  <si>
    <t>EP 43</t>
  </si>
  <si>
    <t>I.Fernandez 1347</t>
  </si>
  <si>
    <t>primaria43tresdefebrero@abc.gob.ar</t>
  </si>
  <si>
    <t>0117PP0044</t>
  </si>
  <si>
    <t>EP 44</t>
  </si>
  <si>
    <t>Ameghino 3041</t>
  </si>
  <si>
    <t>primaria44tresdefebrero@abc.gob.ar</t>
  </si>
  <si>
    <t>0117PP0045</t>
  </si>
  <si>
    <t>EP 45</t>
  </si>
  <si>
    <t>Urquiza 4694</t>
  </si>
  <si>
    <t>primaria45tresdefebrero@abc.gob.ar</t>
  </si>
  <si>
    <t>0117PP0046</t>
  </si>
  <si>
    <t>EP 46</t>
  </si>
  <si>
    <t>Asamblea 4025</t>
  </si>
  <si>
    <t>primaria46tresdefebrero@abc.gob.ar</t>
  </si>
  <si>
    <t>0117PP0047</t>
  </si>
  <si>
    <t>EP 47</t>
  </si>
  <si>
    <t>Perú y Labarden</t>
  </si>
  <si>
    <t>primaria47tresdefebrero@abc.gob.ar</t>
  </si>
  <si>
    <t>0117PP0048</t>
  </si>
  <si>
    <t>EP 48</t>
  </si>
  <si>
    <t>Volcán Domuyo 4514</t>
  </si>
  <si>
    <t>primaria48tresdefebrero@abc.gob.ar</t>
  </si>
  <si>
    <t>0117PP0049</t>
  </si>
  <si>
    <t>EP 49</t>
  </si>
  <si>
    <t>M. Quintana2271</t>
  </si>
  <si>
    <t>primaria49tresdefebrero@abc.gob.ar</t>
  </si>
  <si>
    <t>0117PP0050</t>
  </si>
  <si>
    <t>EP 50</t>
  </si>
  <si>
    <t>Necochea y Ricchieri</t>
  </si>
  <si>
    <t>primaria50tresdefebrero@abc.gob.ar</t>
  </si>
  <si>
    <t>0117PP0051</t>
  </si>
  <si>
    <t>EP 51</t>
  </si>
  <si>
    <t>primaria51tresdefebrero@abc.gob.ar</t>
  </si>
  <si>
    <t>0117PP0052</t>
  </si>
  <si>
    <t>EP 52</t>
  </si>
  <si>
    <t>Pte Peron y Juan Pablo II</t>
  </si>
  <si>
    <t>primaria52tresdefebrero@abc.gob.ar</t>
  </si>
  <si>
    <t>0117PP0053</t>
  </si>
  <si>
    <t>EP 53</t>
  </si>
  <si>
    <t>AV. MARQUEZ 2521</t>
  </si>
  <si>
    <t>primaria53tresdefebrero@abc.gob.ar</t>
  </si>
  <si>
    <t>0117AE0001</t>
  </si>
  <si>
    <t>ESTETICA</t>
  </si>
  <si>
    <t>Neuquén 3073</t>
  </si>
  <si>
    <t>estetica1tresdefebrero@abc.gob.ar</t>
  </si>
  <si>
    <t>0117JI0901</t>
  </si>
  <si>
    <t>JARDIN</t>
  </si>
  <si>
    <t>JI 901</t>
  </si>
  <si>
    <t>Wernicke 2896 Y Las Rosas</t>
  </si>
  <si>
    <t>jardin901tresdefebrero@abc.gob.ar</t>
  </si>
  <si>
    <t>0117JI0902</t>
  </si>
  <si>
    <t>JI 902</t>
  </si>
  <si>
    <t>Nicaragua 3448</t>
  </si>
  <si>
    <t>jardin902tresdefebrero@abc.gob.ar</t>
  </si>
  <si>
    <t>0117JI0903</t>
  </si>
  <si>
    <t>JI 903</t>
  </si>
  <si>
    <t>Beazley 1276</t>
  </si>
  <si>
    <t>jardin903tresdefebrero@abc.gob.ar</t>
  </si>
  <si>
    <t>0117JI0904</t>
  </si>
  <si>
    <t>JI 904</t>
  </si>
  <si>
    <t>Ortega y Gasset 2010</t>
  </si>
  <si>
    <t>jardin904tresdefebrero@abc.gob.ar</t>
  </si>
  <si>
    <t>0117JI0905</t>
  </si>
  <si>
    <t>JI 905</t>
  </si>
  <si>
    <t>Volcan Damuyo y Olivares 4551</t>
  </si>
  <si>
    <t>jardin905tresdefebrero@abc.gob.ar</t>
  </si>
  <si>
    <t>0117JI0906</t>
  </si>
  <si>
    <t>JI 906</t>
  </si>
  <si>
    <t>José Ingenieros 1782</t>
  </si>
  <si>
    <t>jardin906tresdefebrero@abc.gob.ar</t>
  </si>
  <si>
    <t>0117JI0907</t>
  </si>
  <si>
    <t>JI 907</t>
  </si>
  <si>
    <t>Juan XXIII 1126</t>
  </si>
  <si>
    <t>jardin907tresdefebrero@abc.gob.ar</t>
  </si>
  <si>
    <t>0117JI0908</t>
  </si>
  <si>
    <t>JI 908</t>
  </si>
  <si>
    <t>Reina Madre i Fernandez 1164</t>
  </si>
  <si>
    <t>jardin908tresdefebrero@abc.gob.ar</t>
  </si>
  <si>
    <t>0117JI0909</t>
  </si>
  <si>
    <t>JI 909</t>
  </si>
  <si>
    <t>Barragan E/Galileo y Croacia 773</t>
  </si>
  <si>
    <t>jardin909tresdefebrero@abc.gob.ar</t>
  </si>
  <si>
    <t>0117JI0910</t>
  </si>
  <si>
    <t>JI 910</t>
  </si>
  <si>
    <t>Avdor.Sanchez 650</t>
  </si>
  <si>
    <t>jardin910tresdefebrero@abc.gob.ar</t>
  </si>
  <si>
    <t>0117JI0911</t>
  </si>
  <si>
    <t>JI 911</t>
  </si>
  <si>
    <t>jardin911tresdefebrero@abc.gob.ar</t>
  </si>
  <si>
    <t>0117JI0912</t>
  </si>
  <si>
    <t>JI 912</t>
  </si>
  <si>
    <t>Caxaraville 4012</t>
  </si>
  <si>
    <t>jardin912tresdefebrero@abc.gob.ar</t>
  </si>
  <si>
    <t>0117JI0913</t>
  </si>
  <si>
    <t>JI 913</t>
  </si>
  <si>
    <t>Necochea y Richieri s/n</t>
  </si>
  <si>
    <t>jardin913tresdefebrero@abc.gob.ar</t>
  </si>
  <si>
    <t>0117JI0914</t>
  </si>
  <si>
    <t>JI 914</t>
  </si>
  <si>
    <t>Patricios 2165</t>
  </si>
  <si>
    <t>jardin914tresdefebrero@abc.gob.ar</t>
  </si>
  <si>
    <t>0117JI0915</t>
  </si>
  <si>
    <t>JI 915</t>
  </si>
  <si>
    <t>Gral. Lopez 1594 esq San Guillermo</t>
  </si>
  <si>
    <t>jardin915tresdefebrero@abc.gob.ar</t>
  </si>
  <si>
    <t>0117JI0916</t>
  </si>
  <si>
    <t>JI 916</t>
  </si>
  <si>
    <t>Labardén y Perú</t>
  </si>
  <si>
    <t>jardin916tresdefebrero@abc.gob.ar</t>
  </si>
  <si>
    <t>JI 918</t>
  </si>
  <si>
    <t>Almafuerte 4150</t>
  </si>
  <si>
    <t>jardin918tresdefebrero@abc.gob.ar</t>
  </si>
  <si>
    <t xml:space="preserve">0117JI0919
</t>
  </si>
  <si>
    <t>JI 919</t>
  </si>
  <si>
    <t>Raffo 2741</t>
  </si>
  <si>
    <t>jardin919tresdefebrero@abc.gob.ar</t>
  </si>
  <si>
    <t xml:space="preserve">0117JI0920
</t>
  </si>
  <si>
    <t>JI 920</t>
  </si>
  <si>
    <t>Moreno 5766</t>
  </si>
  <si>
    <t>jardin920tresdefebrero@abc.gob.ar</t>
  </si>
  <si>
    <t>0117JI0922</t>
  </si>
  <si>
    <t>JI 922</t>
  </si>
  <si>
    <t>jardin922tresdefebrero@abc.gob.ar</t>
  </si>
  <si>
    <t xml:space="preserve">0117JI0924
</t>
  </si>
  <si>
    <t>JI 924</t>
  </si>
  <si>
    <t>W. del Tata 4924</t>
  </si>
  <si>
    <t>jardin924tresdefebrero@abc.gob.ar</t>
  </si>
  <si>
    <t>0117JI0925</t>
  </si>
  <si>
    <t>JI 925</t>
  </si>
  <si>
    <t>J.Hernandez 837</t>
  </si>
  <si>
    <t>jardin925tresdefebrero@abc.gob.ar</t>
  </si>
  <si>
    <t>0117JI0926</t>
  </si>
  <si>
    <t>JI 926</t>
  </si>
  <si>
    <t>Spandonari 3353</t>
  </si>
  <si>
    <t>jardin926tresdefebrero@abc.gob.ar</t>
  </si>
  <si>
    <t>0117JI0927</t>
  </si>
  <si>
    <t>JI 927</t>
  </si>
  <si>
    <t>jardin927tresdefebrero@abc.gob.ar</t>
  </si>
  <si>
    <t>0117JI0928</t>
  </si>
  <si>
    <t>JI 928</t>
  </si>
  <si>
    <t>Tres Lomas 532</t>
  </si>
  <si>
    <t>jardin928tresdefebrero@abc.gob.ar</t>
  </si>
  <si>
    <t>0117JI0929</t>
  </si>
  <si>
    <t>JI 929</t>
  </si>
  <si>
    <t>Marquez 2521</t>
  </si>
  <si>
    <t>jardin929tresdefebrero@abc.gob.ar</t>
  </si>
  <si>
    <t>0117JI0931</t>
  </si>
  <si>
    <t>JI 931</t>
  </si>
  <si>
    <t>Asunción 3810 (esq 9 de Julio)</t>
  </si>
  <si>
    <t>jardin931tresdefebrero@abc.gob.ar</t>
  </si>
  <si>
    <t>0117EL0001</t>
  </si>
  <si>
    <t>CFI 01</t>
  </si>
  <si>
    <t>Cuelli 2139</t>
  </si>
  <si>
    <t>cfl1tresdefebrero@abc.gob.ar</t>
  </si>
  <si>
    <t>0117EL0002</t>
  </si>
  <si>
    <t>CFI 02</t>
  </si>
  <si>
    <t>Perez 929</t>
  </si>
  <si>
    <t>cfl2tresdefebrero@abc.gob.ar</t>
  </si>
  <si>
    <t>0117MS0002</t>
  </si>
  <si>
    <t>SECUNDARIA</t>
  </si>
  <si>
    <t>EES 02</t>
  </si>
  <si>
    <t>Matienzo 2484</t>
  </si>
  <si>
    <t>secundaria2tresdefebrero@abc.gob.ar</t>
  </si>
  <si>
    <t>0117MS0003</t>
  </si>
  <si>
    <t>EES 03</t>
  </si>
  <si>
    <t>Andrés Ferreyra 2679</t>
  </si>
  <si>
    <t>secundaria3tresdefebrero@abc.gob.ar</t>
  </si>
  <si>
    <t>0117MS0004</t>
  </si>
  <si>
    <t>EES 04</t>
  </si>
  <si>
    <t>secundaria4tresdefebrero@abc.gob.ar</t>
  </si>
  <si>
    <t>0117MS0005</t>
  </si>
  <si>
    <t>EES 05</t>
  </si>
  <si>
    <t>Jose Ingenieros 1605</t>
  </si>
  <si>
    <t>secundaria5tresdefebrero@abc.gob.ar</t>
  </si>
  <si>
    <t>0117MS0006</t>
  </si>
  <si>
    <t>EES 06</t>
  </si>
  <si>
    <t>secundaria6tresdefebrero@abc.gob.ar</t>
  </si>
  <si>
    <t>0117MS0007</t>
  </si>
  <si>
    <t>EES 07</t>
  </si>
  <si>
    <t>Paso y Lorca S/N</t>
  </si>
  <si>
    <t>secundaria7tresdefebrero@abc.gob.ar</t>
  </si>
  <si>
    <t>0117MS0008</t>
  </si>
  <si>
    <t>EES 08</t>
  </si>
  <si>
    <t>Lisandro de la Torre 2545</t>
  </si>
  <si>
    <t>secundaria8tresdefebrero@abc.gob.ar</t>
  </si>
  <si>
    <t>0117MS0011</t>
  </si>
  <si>
    <t>EES 11</t>
  </si>
  <si>
    <t>Williams 1340</t>
  </si>
  <si>
    <t>secundaria11tresdefebrero@abc.gob.ar</t>
  </si>
  <si>
    <t>0117MS0012</t>
  </si>
  <si>
    <t>EES 12</t>
  </si>
  <si>
    <t>secundaria12tresdefebrero@abc.gob.ar</t>
  </si>
  <si>
    <t>0117MS0013</t>
  </si>
  <si>
    <t>EES 13</t>
  </si>
  <si>
    <t>Juan XXIII 1116</t>
  </si>
  <si>
    <t>secundaria13tresdefebrero@abc.gob.ar</t>
  </si>
  <si>
    <t>0117MS2130</t>
  </si>
  <si>
    <t>EES 13 (anexo)</t>
  </si>
  <si>
    <t>Juan XXIII y La Cautiva</t>
  </si>
  <si>
    <t>0117MS0014</t>
  </si>
  <si>
    <t>EES 14</t>
  </si>
  <si>
    <t>Angel Pini 5252</t>
  </si>
  <si>
    <t>secundaria14tresdefebrero@abc.gob.ar</t>
  </si>
  <si>
    <t>0117MS3141</t>
  </si>
  <si>
    <t>EES 14 (anexo)</t>
  </si>
  <si>
    <t>0117MS0015</t>
  </si>
  <si>
    <t>EES 15</t>
  </si>
  <si>
    <t>secundaria15tresdefebrero@abc.gob.ar</t>
  </si>
  <si>
    <t>0117MS3151</t>
  </si>
  <si>
    <t>EES 15 (anexo)</t>
  </si>
  <si>
    <t>Asamble 4025</t>
  </si>
  <si>
    <t>0117MS0016</t>
  </si>
  <si>
    <t>EES 16</t>
  </si>
  <si>
    <t>secundaria16tresdefebrero@abc.gob.ar</t>
  </si>
  <si>
    <t>EES 17</t>
  </si>
  <si>
    <t>Geranios 6212</t>
  </si>
  <si>
    <t>secundaria17tresdefebrero@abc.gob.ar</t>
  </si>
  <si>
    <t>0117MS0018</t>
  </si>
  <si>
    <t>EES 18</t>
  </si>
  <si>
    <t>secundaria18tresdefebrero@abc.gob.ar</t>
  </si>
  <si>
    <t>0117MS0020</t>
  </si>
  <si>
    <t>EES 20</t>
  </si>
  <si>
    <t>Carlos Tejedor 4543</t>
  </si>
  <si>
    <t>secundaria20tresdefebrero@abc.gob.ar</t>
  </si>
  <si>
    <t>0117MS0021</t>
  </si>
  <si>
    <t>EES 21</t>
  </si>
  <si>
    <t>secundaria21tresdefebrero@abc.gob.ar</t>
  </si>
  <si>
    <t>0117MS0022</t>
  </si>
  <si>
    <t>EES 22</t>
  </si>
  <si>
    <t>PARODI 5517</t>
  </si>
  <si>
    <t>secundaria22tresdefebrero@abc.gob.ar</t>
  </si>
  <si>
    <t>0117MS0024</t>
  </si>
  <si>
    <t>EES 24</t>
  </si>
  <si>
    <t>Puán 4855</t>
  </si>
  <si>
    <t>secundaria24tresdefebrero@abc.gob.ar</t>
  </si>
  <si>
    <t>0117MS0025</t>
  </si>
  <si>
    <t>EES 25</t>
  </si>
  <si>
    <t>P. Elizalde 102</t>
  </si>
  <si>
    <t>secundaria25tresdefebrero@abc.gob.ar</t>
  </si>
  <si>
    <t>0117MS0026</t>
  </si>
  <si>
    <t>EES 26</t>
  </si>
  <si>
    <t>secundaria26tresdefebrero@abc.gob.ar</t>
  </si>
  <si>
    <t>0117MS0027</t>
  </si>
  <si>
    <t>EES 27</t>
  </si>
  <si>
    <t>San Martin 440</t>
  </si>
  <si>
    <t>secundaria27tresdefebrero@abc.gob.ar</t>
  </si>
  <si>
    <t>0117MS0028</t>
  </si>
  <si>
    <t>EES 28</t>
  </si>
  <si>
    <t>Barragan 773</t>
  </si>
  <si>
    <t>secundaria28tresdefebrero@abc.gob.ar</t>
  </si>
  <si>
    <t>0117MS0029</t>
  </si>
  <si>
    <t>EES 29</t>
  </si>
  <si>
    <t>J Crotto y Juan Pablo II</t>
  </si>
  <si>
    <t>secundaria29tresdefebrero@abc.gob.ar</t>
  </si>
  <si>
    <t>0117MS0031</t>
  </si>
  <si>
    <t>EES 31</t>
  </si>
  <si>
    <t>AV. URQUIZA 4694</t>
  </si>
  <si>
    <t>secundaria31tresdefebrero@abc.gob.ar</t>
  </si>
  <si>
    <t>0117MS0033</t>
  </si>
  <si>
    <t>EES 33</t>
  </si>
  <si>
    <t>secundaria33tresdefebrero@abc.gob.ar</t>
  </si>
  <si>
    <t>0117MS0037</t>
  </si>
  <si>
    <t>EES 37</t>
  </si>
  <si>
    <t>secundaria37tresdefebrero@abc.gob.ar</t>
  </si>
  <si>
    <t>0117MT0001</t>
  </si>
  <si>
    <t>TEC 1</t>
  </si>
  <si>
    <t>Nicaragua 3516</t>
  </si>
  <si>
    <t>eest1tresdefebrero@abc.gob.ar</t>
  </si>
  <si>
    <t>0117MT0002</t>
  </si>
  <si>
    <t>TEC 2</t>
  </si>
  <si>
    <t>Bradley 7350</t>
  </si>
  <si>
    <t>vd.tecnica2.3f@gmail.com</t>
  </si>
  <si>
    <t>0117MT0004</t>
  </si>
  <si>
    <t>TEC 4</t>
  </si>
  <si>
    <t>Richieri y Necochea S/N</t>
  </si>
  <si>
    <t>eest4tresdefebrero@abc.gob.ar</t>
  </si>
  <si>
    <t>0117EE0504</t>
  </si>
  <si>
    <t>EE 504</t>
  </si>
  <si>
    <t>Gral. Pico 10574</t>
  </si>
  <si>
    <t>especial504tresdefebrero@abc.gob.ar</t>
  </si>
  <si>
    <t>0117PP0034</t>
  </si>
  <si>
    <t>EP 34</t>
  </si>
  <si>
    <t>Av Churruca 9711</t>
  </si>
  <si>
    <t>primaria34tresdefebrero@abc.gob.ar</t>
  </si>
  <si>
    <t>0117PP0035</t>
  </si>
  <si>
    <t>EP 35</t>
  </si>
  <si>
    <t>El Parque y San Luis S/N</t>
  </si>
  <si>
    <t>primaria35tresdefebrero@abc.gob.ar</t>
  </si>
  <si>
    <t>0117PP0036</t>
  </si>
  <si>
    <t>EP 36</t>
  </si>
  <si>
    <t>Iguazú 10494</t>
  </si>
  <si>
    <t>primaria36tresdefebrero@abc.gob.ar</t>
  </si>
  <si>
    <t>0117PP0038</t>
  </si>
  <si>
    <t>EP 38</t>
  </si>
  <si>
    <t>Rio Salado 8921</t>
  </si>
  <si>
    <t>primaria38tresdefebrero@abc.gob.ar</t>
  </si>
  <si>
    <t>0117PP0041</t>
  </si>
  <si>
    <t>EP 41</t>
  </si>
  <si>
    <t>Puerto Argentino 2208</t>
  </si>
  <si>
    <t>primaria41tresdefebrero@abc.gob.ar</t>
  </si>
  <si>
    <t>0117PP0042</t>
  </si>
  <si>
    <t>EP 42</t>
  </si>
  <si>
    <t>Gral Pico y Tucumán</t>
  </si>
  <si>
    <t>primaria42tresdefebrero@abc.gob.ar</t>
  </si>
  <si>
    <t>0117JI0917</t>
  </si>
  <si>
    <t>JI 917</t>
  </si>
  <si>
    <t>1º Junta y Catamarca 10594</t>
  </si>
  <si>
    <t>jardin917tresdefebrero@abc.gob.ar</t>
  </si>
  <si>
    <t>0117JI0921</t>
  </si>
  <si>
    <t>JI 921</t>
  </si>
  <si>
    <t>Churruca 10485</t>
  </si>
  <si>
    <t>jardin921tresdefebrero@abc.gob.ar</t>
  </si>
  <si>
    <t>0117JI0923</t>
  </si>
  <si>
    <t>JI 923</t>
  </si>
  <si>
    <t>iguazú 9710</t>
  </si>
  <si>
    <t>jardin923tresdefebrero@abc.gob.ar</t>
  </si>
  <si>
    <t>0117JI0930</t>
  </si>
  <si>
    <t>JI 930</t>
  </si>
  <si>
    <t>Mansilla 875</t>
  </si>
  <si>
    <t>jardin930tresdefebrero@abc.gob.ar</t>
  </si>
  <si>
    <t>0117MS0001</t>
  </si>
  <si>
    <t>EES 01</t>
  </si>
  <si>
    <t>secundaria1tresdefebrero@abc.gob.ar</t>
  </si>
  <si>
    <t>0117MS3011</t>
  </si>
  <si>
    <t>EES 01 (anexo)</t>
  </si>
  <si>
    <t>Larralde 1521 esq D rDella Rosa</t>
  </si>
  <si>
    <t>0117MS0009</t>
  </si>
  <si>
    <t>EES 09</t>
  </si>
  <si>
    <t>Rio Negro 10076</t>
  </si>
  <si>
    <t>secundaria9tresdefebrero@abc.gob.ar</t>
  </si>
  <si>
    <t>0117MS0010</t>
  </si>
  <si>
    <t>EES 10</t>
  </si>
  <si>
    <t>Rio Salado 8765</t>
  </si>
  <si>
    <t>secundaria10tresdefebrero@abc.gob.ar</t>
  </si>
  <si>
    <t xml:space="preserve">0117MS0019
</t>
  </si>
  <si>
    <t>EES 19</t>
  </si>
  <si>
    <t>secundaria19tresdefebrero@abc.gob.ar</t>
  </si>
  <si>
    <t>0117MS3191</t>
  </si>
  <si>
    <t>EES 19 (anexo)</t>
  </si>
  <si>
    <t>0117MS0023</t>
  </si>
  <si>
    <t>EES 23</t>
  </si>
  <si>
    <t>Ascasubi 7073</t>
  </si>
  <si>
    <t>secundaria23tresdefebrero@abc.gob.ar</t>
  </si>
  <si>
    <t>0117MS0030</t>
  </si>
  <si>
    <t>EES 30</t>
  </si>
  <si>
    <t>secundaria30tresdefebrero@abc.gob.ar</t>
  </si>
  <si>
    <t xml:space="preserve">0117MS0032
</t>
  </si>
  <si>
    <t>EES 32</t>
  </si>
  <si>
    <t>secundaria32tresdefebrero@abc.gob.ar</t>
  </si>
  <si>
    <t>EES 34</t>
  </si>
  <si>
    <t>secundaria34tresdefebrero@abc.gob.ar</t>
  </si>
  <si>
    <t>0117MS0035</t>
  </si>
  <si>
    <t>EES 35</t>
  </si>
  <si>
    <t>secundaria35tresdefebrero@abc.gob.ar</t>
  </si>
  <si>
    <t xml:space="preserve">0117MS0036
</t>
  </si>
  <si>
    <t>EES 36</t>
  </si>
  <si>
    <t>secundaria36tresdefebrero@abc.gob.ar</t>
  </si>
  <si>
    <t>0117MT0003</t>
  </si>
  <si>
    <t>TEC 3</t>
  </si>
  <si>
    <t>Emancipador 10080</t>
  </si>
  <si>
    <t>eest3tresdefebrero@abc.gob.ar</t>
  </si>
  <si>
    <t>T-V</t>
  </si>
  <si>
    <t>3117JI6374</t>
  </si>
  <si>
    <t>JM ALADINO</t>
  </si>
  <si>
    <t>Asuncion 2463</t>
  </si>
  <si>
    <t>jardinmunicipalaladino@gmail.com</t>
  </si>
  <si>
    <t>MUNICIPAL</t>
  </si>
  <si>
    <t>3117JI1252</t>
  </si>
  <si>
    <t>JM ANTEOJITO</t>
  </si>
  <si>
    <t>Abdón Garcia 4592</t>
  </si>
  <si>
    <t>anteojito1252@hotmail.com</t>
  </si>
  <si>
    <t>3117JI6373</t>
  </si>
  <si>
    <t>JM ARDILLITAS TRAVIESAS</t>
  </si>
  <si>
    <t>Guamini 5250 *</t>
  </si>
  <si>
    <t>ardillitastraviesas63@gmail.com</t>
  </si>
  <si>
    <t>3117JI1784</t>
  </si>
  <si>
    <t>JM ARENALES</t>
  </si>
  <si>
    <t>Av. Militar 3371 *</t>
  </si>
  <si>
    <t>jardinarenales@yahoo.com.ar</t>
  </si>
  <si>
    <t>3117JI1279</t>
  </si>
  <si>
    <t>JM BAMBI</t>
  </si>
  <si>
    <t>Dante 4580</t>
  </si>
  <si>
    <t>paula_berazategui@yahoo.com.ar</t>
  </si>
  <si>
    <t>3117JI6372</t>
  </si>
  <si>
    <t>JM BICHITO DE LUZ</t>
  </si>
  <si>
    <t>Ramallo 5201</t>
  </si>
  <si>
    <t>jardinmunicipalbichitodeluz@outlook.com</t>
  </si>
  <si>
    <t>3117JI1274</t>
  </si>
  <si>
    <t>JM CAMINITO</t>
  </si>
  <si>
    <t>Angel Pini 5238</t>
  </si>
  <si>
    <t>amarellemg2@gmail.com</t>
  </si>
  <si>
    <t>3117JI1542</t>
  </si>
  <si>
    <t>JM CEBOLLITAS</t>
  </si>
  <si>
    <t>jmcebollitas1542@gmail.com</t>
  </si>
  <si>
    <t>3117JI2087</t>
  </si>
  <si>
    <t>JM DESPERTAR</t>
  </si>
  <si>
    <t>Churruca 10126</t>
  </si>
  <si>
    <t>jmdespertar@gmail.com</t>
  </si>
  <si>
    <t>3117JI1258</t>
  </si>
  <si>
    <t>JM DUMBO</t>
  </si>
  <si>
    <t>N.S.d.La Merced 3464</t>
  </si>
  <si>
    <t>jardinmunicipaldumbo@gmail.com</t>
  </si>
  <si>
    <t>3117JI2193</t>
  </si>
  <si>
    <t>JM EL GAUCHITO</t>
  </si>
  <si>
    <t>El Gaucho y Salguero (Salguero 660)</t>
  </si>
  <si>
    <t>elgauchito2193@gmail.com</t>
  </si>
  <si>
    <t>3117JI2748</t>
  </si>
  <si>
    <t>JM EL LIBERTADOR</t>
  </si>
  <si>
    <t>S.d.Est. y Emancipador (Stiago del estero 900)</t>
  </si>
  <si>
    <t>jmunicipalellibertador@gmail.com</t>
  </si>
  <si>
    <t>3117JI1259</t>
  </si>
  <si>
    <t>JM EVITA</t>
  </si>
  <si>
    <t>Agustín Magaldi 2243</t>
  </si>
  <si>
    <t>jardinevita1259@gmail.com</t>
  </si>
  <si>
    <t>3117JI1786</t>
  </si>
  <si>
    <t>JM HORMIGUITA VIAJERA</t>
  </si>
  <si>
    <t>G.A. Becquer 795</t>
  </si>
  <si>
    <t>avilakarina596@gmail.com</t>
  </si>
  <si>
    <t>3117JI2991</t>
  </si>
  <si>
    <t>JM JOSÉ HERNANDEZ</t>
  </si>
  <si>
    <t>Fischetti 5220</t>
  </si>
  <si>
    <t>josehernandezji2991@gmail.com</t>
  </si>
  <si>
    <t>3117JI6371</t>
  </si>
  <si>
    <t>JM JOSÉ MANUEL ESTRADA</t>
  </si>
  <si>
    <t>Petckovic 5465</t>
  </si>
  <si>
    <t>jardinestrada6371@gmail.com</t>
  </si>
  <si>
    <t>3117JI6370</t>
  </si>
  <si>
    <t>JM JILGUERILLO</t>
  </si>
  <si>
    <t>Nolting 3751</t>
  </si>
  <si>
    <t>jardinjilguerillo@gmail.com</t>
  </si>
  <si>
    <t>3117JI1269</t>
  </si>
  <si>
    <t>JM LA RONDA</t>
  </si>
  <si>
    <t>Sócrates 966</t>
  </si>
  <si>
    <t>jardindeinfanteslaronda@gmail.com</t>
  </si>
  <si>
    <t xml:space="preserve">3117JM6376
</t>
  </si>
  <si>
    <t>JM LEONCITO</t>
  </si>
  <si>
    <t>Moriondo 3415 *</t>
  </si>
  <si>
    <t>leoncitojardinmaternal@gmail.com</t>
  </si>
  <si>
    <t>3117JI1272</t>
  </si>
  <si>
    <t>JM MISIA PEPA</t>
  </si>
  <si>
    <t>Urquiza y Bolivia
(Justo José de Urquiza 3851)</t>
  </si>
  <si>
    <t>jardinmisiapepa@yahoo.com.ar</t>
  </si>
  <si>
    <t>3117JI2593</t>
  </si>
  <si>
    <t>JM NUBECITA</t>
  </si>
  <si>
    <t>jmnubecita@gmail.com</t>
  </si>
  <si>
    <t>3117JI2986</t>
  </si>
  <si>
    <t>JM OSITO MIMOSO</t>
  </si>
  <si>
    <t>Asuncion 4703 *</t>
  </si>
  <si>
    <t>osito.mimoso@live.com</t>
  </si>
  <si>
    <t>3117JI1785</t>
  </si>
  <si>
    <t>JM PEPINO 88</t>
  </si>
  <si>
    <t>Metzig 2124</t>
  </si>
  <si>
    <t>jardinpepino88@gmail.com</t>
  </si>
  <si>
    <t>3117JI2366</t>
  </si>
  <si>
    <t>JM PIETRO TESTA</t>
  </si>
  <si>
    <t>Miguel Angel y Hornos
(Miguel Ángel 4880)</t>
  </si>
  <si>
    <t>fabigalati@yahoo.com.ar</t>
  </si>
  <si>
    <t xml:space="preserve">3117JI1277
</t>
  </si>
  <si>
    <t>JM QUINQUELA MARTIN</t>
  </si>
  <si>
    <t>A.Militar y S.Ignacio (Av. Militar 3090)</t>
  </si>
  <si>
    <t>jquinquela@gmail.com</t>
  </si>
  <si>
    <t>3117JI1280</t>
  </si>
  <si>
    <t>JM REMEDIOS DE ESCALADA</t>
  </si>
  <si>
    <t>Castelar y Espora 2996 (Espora 2996)</t>
  </si>
  <si>
    <t>jardinescalada@gmail.com</t>
  </si>
  <si>
    <t>3117JM6375</t>
  </si>
  <si>
    <t>JM TERNURITAS</t>
  </si>
  <si>
    <t>José Murias y Alberdi (Alberdi 4850)</t>
  </si>
  <si>
    <t>jternuritas@gmail.com</t>
  </si>
  <si>
    <t>DISPOSITIVO</t>
  </si>
  <si>
    <t>UDI Mi Mamita</t>
  </si>
  <si>
    <t>El gaucho y Salguero</t>
  </si>
  <si>
    <t>equipotecnicomimamita@gmail.com</t>
  </si>
  <si>
    <t>UDI Mi Refugio</t>
  </si>
  <si>
    <t>Dardo Rocha y Besares</t>
  </si>
  <si>
    <t>udimirefugio@gmail.com</t>
  </si>
  <si>
    <t>UDI Mi Nueva Esperanza</t>
  </si>
  <si>
    <t>Cerro Olivares y Volcan San Jose</t>
  </si>
  <si>
    <t>udiminuevaesperanza3f@gmail.com</t>
  </si>
  <si>
    <t>EPI Mi Casita</t>
  </si>
  <si>
    <t>Gabino Ezeiza 10050</t>
  </si>
  <si>
    <t>Coordinacionepis3f@gmail.com</t>
  </si>
  <si>
    <t>EPI Estrella de Belén</t>
  </si>
  <si>
    <t>EPI Caseritos</t>
  </si>
  <si>
    <t>Volcan san José 4550</t>
  </si>
  <si>
    <t>ENVIÓN Libertador</t>
  </si>
  <si>
    <t>miramar 815</t>
  </si>
  <si>
    <t>envion.libertador@gmail.com</t>
  </si>
  <si>
    <t>ENVIÓN Ejercito</t>
  </si>
  <si>
    <t>marcelo t de alvear 3386</t>
  </si>
  <si>
    <t>envionejercito@gmail.com</t>
  </si>
  <si>
    <t>ENVIÓN Evita</t>
  </si>
  <si>
    <t>labarden 4255</t>
  </si>
  <si>
    <t>envionbarrioevita@gmail.com</t>
  </si>
  <si>
    <t>TALLER PROTEGIDO</t>
  </si>
  <si>
    <t>Betharram 1542</t>
  </si>
  <si>
    <t>miriveraparedes@gmail.com</t>
  </si>
  <si>
    <t>0117DE0701</t>
  </si>
  <si>
    <t>ADULTOS</t>
  </si>
  <si>
    <t>EPA 701</t>
  </si>
  <si>
    <t>0117DE0702</t>
  </si>
  <si>
    <t>EPA 702</t>
  </si>
  <si>
    <t>0117DE0703</t>
  </si>
  <si>
    <t>EPA 703</t>
  </si>
  <si>
    <t>0117DE0704</t>
  </si>
  <si>
    <t>EPA 704</t>
  </si>
  <si>
    <t>0117DE0711</t>
  </si>
  <si>
    <t>EPA 711</t>
  </si>
  <si>
    <t>0117DC0712</t>
  </si>
  <si>
    <t>CEA 712/01</t>
  </si>
  <si>
    <t>0117DM0451</t>
  </si>
  <si>
    <t>CENS 451</t>
  </si>
  <si>
    <t>0117DM0452</t>
  </si>
  <si>
    <t>CENS 452</t>
  </si>
  <si>
    <t>0117DM0453</t>
  </si>
  <si>
    <t>CENS 453</t>
  </si>
  <si>
    <t>0117DM0454</t>
  </si>
  <si>
    <t>CENS 454</t>
  </si>
  <si>
    <t>0117DM0455</t>
  </si>
  <si>
    <t>CENS 455</t>
  </si>
  <si>
    <t>0117DM0456</t>
  </si>
  <si>
    <t>CENS 456</t>
  </si>
  <si>
    <t>0117DM0457</t>
  </si>
  <si>
    <t>CENS 457</t>
  </si>
  <si>
    <t>0117DM0458</t>
  </si>
  <si>
    <t>CENS 458</t>
  </si>
  <si>
    <t>EMMU</t>
  </si>
  <si>
    <t>Valentín Gómez 4728</t>
  </si>
  <si>
    <t>EMAC</t>
  </si>
  <si>
    <t>Av. Urquiza 4742</t>
  </si>
  <si>
    <t>3117IS2989</t>
  </si>
  <si>
    <t>CAPACYT</t>
  </si>
  <si>
    <t>Escultor Santiago Parodi 4056</t>
  </si>
  <si>
    <t>4117PP0575</t>
  </si>
  <si>
    <t>COLEGIO CRISTO REY</t>
  </si>
  <si>
    <t>Fray Justo Santa Maria de Oro 4760</t>
  </si>
  <si>
    <t>info@institutocristorey.com.ar</t>
  </si>
  <si>
    <t>PRIVADA</t>
  </si>
  <si>
    <t>4117PP5658</t>
  </si>
  <si>
    <t>COLEGIO DEL CENTRO</t>
  </si>
  <si>
    <t>A. Ferreyra 2744</t>
  </si>
  <si>
    <t>wcentro@yahoo.com.ar</t>
  </si>
  <si>
    <t>4117JI5479</t>
  </si>
  <si>
    <t>4117MS7863</t>
  </si>
  <si>
    <t>4117JI1357</t>
  </si>
  <si>
    <t>COLEGIO PADRE VICENTE GROSSI</t>
  </si>
  <si>
    <t>PUAN E/ PERU Y BOLIVIA 4066</t>
  </si>
  <si>
    <t>colegiogrossi@arnetbit.com.ar</t>
  </si>
  <si>
    <t>4117PP0647</t>
  </si>
  <si>
    <t>COLEGIO PARROQUIAL SAN FRANCISCO JAVIER</t>
  </si>
  <si>
    <t>PJE. PAZZELLI 3368 VILLA MATHIEU</t>
  </si>
  <si>
    <t>parroquiasfranciscojavier@gmail.com</t>
  </si>
  <si>
    <t>4117EL3592</t>
  </si>
  <si>
    <t>CTRO. DE FORMACION LABORAL ARCO IRIS</t>
  </si>
  <si>
    <t>CASEROS 2756</t>
  </si>
  <si>
    <t>secretaria@centrodediaarcoiris.com.ar</t>
  </si>
  <si>
    <t xml:space="preserve">4117EE2732
</t>
  </si>
  <si>
    <t>ESCUELA DE RECUPERACION CASEROS</t>
  </si>
  <si>
    <t>FISCHETTI 4461</t>
  </si>
  <si>
    <t>eecaseros@gmail.com</t>
  </si>
  <si>
    <t>4117PP0588</t>
  </si>
  <si>
    <t>INSTITUTO ABATE JOSE REY</t>
  </si>
  <si>
    <t>J.B.ALBERTI E/ HORNOS Y CURAPALIGUE 5051</t>
  </si>
  <si>
    <t>abatejosereyinicial@gmail.com</t>
  </si>
  <si>
    <t>4117MS4922</t>
  </si>
  <si>
    <t>JUAN BAUTISTA ALBERDI 5051</t>
  </si>
  <si>
    <t>4117MS4933</t>
  </si>
  <si>
    <t>INSTITUTO BEATO VICENTE GROSSI</t>
  </si>
  <si>
    <t>PUAN 4066</t>
  </si>
  <si>
    <t>4117PP0572</t>
  </si>
  <si>
    <t>INSTITUTO CARDOSO</t>
  </si>
  <si>
    <t>WENCESLAO H. DE TATA 4635</t>
  </si>
  <si>
    <t>instituto.cardoso52@gmail.com</t>
  </si>
  <si>
    <t>4117MS7136</t>
  </si>
  <si>
    <t>WENCESLAO DE TATA 4635</t>
  </si>
  <si>
    <t xml:space="preserve">4117JI3728
</t>
  </si>
  <si>
    <t>4117PP0989</t>
  </si>
  <si>
    <t>INSTITUTO CEFERINO NAMUNCURA</t>
  </si>
  <si>
    <t>OLAVARRIA E/ MITRE Y MERLO 3061</t>
  </si>
  <si>
    <t>icn_educacion@yahoo.com.ar</t>
  </si>
  <si>
    <t>4117MS4927</t>
  </si>
  <si>
    <t>OLAVARRIA 3061</t>
  </si>
  <si>
    <t>4117MS4924</t>
  </si>
  <si>
    <t>INSTITUTO CRISTO REY</t>
  </si>
  <si>
    <t>AV.SAN MARTIN 1555</t>
  </si>
  <si>
    <t>4117PP0574</t>
  </si>
  <si>
    <t>INSTITUTO EVANGELICO AMERICANO</t>
  </si>
  <si>
    <t>BELGRANO E/AV. SAN MARTIN Y AV MAGDALE 4720</t>
  </si>
  <si>
    <t>4117MS7871</t>
  </si>
  <si>
    <t>BELGRANO E/ SAN MARTIN Y 3 DE FEBRERO 4720</t>
  </si>
  <si>
    <t>4117JI7641</t>
  </si>
  <si>
    <t>BELGRANO 4720</t>
  </si>
  <si>
    <t>4117MS6870</t>
  </si>
  <si>
    <t>INSTITUTO JOSE INGENIEROS</t>
  </si>
  <si>
    <t>FRAY M ESQUIU E/ BALDINI Y POTOSI 5230</t>
  </si>
  <si>
    <t>4117PP0582</t>
  </si>
  <si>
    <t>INSTITUTO NUESTRA SEÑORA DE LA MERCED</t>
  </si>
  <si>
    <t>NUESTRA SEÑORA DE LA MERCED 4624</t>
  </si>
  <si>
    <t>4117MS4918</t>
  </si>
  <si>
    <t>NTRA.SRA.DE LA MERCED 4624</t>
  </si>
  <si>
    <t>INSTITUTO SAN JOSE OBRERO</t>
  </si>
  <si>
    <t>PJE. RAFAEL PAZZELLI 3368</t>
  </si>
  <si>
    <t>4117IS5899</t>
  </si>
  <si>
    <t>INSTITUTO SUPERIOR DE PERIODISMO DEPORTIVO</t>
  </si>
  <si>
    <t>DR. AMADEO SABATINI 4991</t>
  </si>
  <si>
    <t xml:space="preserve">4117IS8000
</t>
  </si>
  <si>
    <t>INSTITUTO TECNOLÓGICO U.O.M.</t>
  </si>
  <si>
    <t>WENCESLAO DE TATA 4924</t>
  </si>
  <si>
    <t>4117JI2091</t>
  </si>
  <si>
    <t>JARDIN CRISTO REY</t>
  </si>
  <si>
    <t>AV. FRAY JUSTO SANTA MARIA DE ORO 4750</t>
  </si>
  <si>
    <t>4117JI1469</t>
  </si>
  <si>
    <t>JARDIN DE INFANTES ABATE JOSE REY</t>
  </si>
  <si>
    <t xml:space="preserve">4117JI1467
</t>
  </si>
  <si>
    <t>JARDIN DE INFANTES EL DIENTITO FLOJO</t>
  </si>
  <si>
    <t>MAESTRA BALDINI 1861</t>
  </si>
  <si>
    <t xml:space="preserve">4117JI7793
</t>
  </si>
  <si>
    <t>JARDIN DE INFANTES EL NUEVO ARLEQUIN</t>
  </si>
  <si>
    <t>JUAN BAUTISTA ALBERDI 4961</t>
  </si>
  <si>
    <t xml:space="preserve">4117JI7793
</t>
  </si>
  <si>
    <t>JARDIN DE INFANTES EL RATON MIGUEL</t>
  </si>
  <si>
    <t>LA MERCED 4443</t>
  </si>
  <si>
    <t>JARDIN DE INFANTES PADRE VICENTE GROSSI</t>
  </si>
  <si>
    <t>JUAN DE GARAY 4151</t>
  </si>
  <si>
    <t>4117JI1465</t>
  </si>
  <si>
    <t>JARDIN DE INFANTES SAN FRANCISCO JAVIER</t>
  </si>
  <si>
    <t>RAFAEL PAZZELLI (EX IRALA) 3368</t>
  </si>
  <si>
    <t>4117PP1070</t>
  </si>
  <si>
    <t>JOSE INGENIEROS</t>
  </si>
  <si>
    <t>4117JI1496</t>
  </si>
  <si>
    <t>ALAS</t>
  </si>
  <si>
    <t>MISIONES 6434</t>
  </si>
  <si>
    <t xml:space="preserve">4117PP0573
</t>
  </si>
  <si>
    <t>COLEGIO CIUDAD JARDIN</t>
  </si>
  <si>
    <t>MATIENZO Y ALAS ARGENTINAS 2799</t>
  </si>
  <si>
    <t>4117PP1795</t>
  </si>
  <si>
    <t>ESCUELA ALAS</t>
  </si>
  <si>
    <t>MISIONES E/ SAN MARTIN Y FORMOSA 6434</t>
  </si>
  <si>
    <t>4117PP0583</t>
  </si>
  <si>
    <t>INSTITUTO PALOMAR DE CASEROS</t>
  </si>
  <si>
    <t>WERNICKE E/ ZEPELIN Y ALAS ARGENTINAS 2458</t>
  </si>
  <si>
    <t>4117MS4941</t>
  </si>
  <si>
    <t>AV. WERNICKE 2458</t>
  </si>
  <si>
    <t>4117IS4946</t>
  </si>
  <si>
    <t>INSTITUTO SUPERIOR PALOMAR DE CASEROS</t>
  </si>
  <si>
    <t>AV. WERNICKE 543 CIUDAD JARDIN</t>
  </si>
  <si>
    <t>4117JI1468</t>
  </si>
  <si>
    <t>JARDIN CIUDAD JARDIN</t>
  </si>
  <si>
    <t>MATIENZO 509 Lomas de Palomar</t>
  </si>
  <si>
    <t>JARDIN DE INFANTES LOS PINITOS</t>
  </si>
  <si>
    <t>MISIONES E/SAN MARTIN Y FORMOSA 6446</t>
  </si>
  <si>
    <t>4117MS4944</t>
  </si>
  <si>
    <t>SECUNDARIO CIUDAD JARDIN</t>
  </si>
  <si>
    <t>AV. MATIENZO 2799</t>
  </si>
  <si>
    <t>COLEGIO INMACULADA CONCEPCION</t>
  </si>
  <si>
    <t>MAIPU E/ CHACABUCO Y O'HIGGINS 3737</t>
  </si>
  <si>
    <t>COLEGIO NUESTRA SEÑORA DE FATIMA</t>
  </si>
  <si>
    <t>H.YRIGOYEN E/ BESARES Y AV. MILITAR 1661</t>
  </si>
  <si>
    <t>4117PP0584</t>
  </si>
  <si>
    <t>COLEGIO PADRE ELIZALDE</t>
  </si>
  <si>
    <t>25 DE MAYO Y JUANA DE ARCO 101</t>
  </si>
  <si>
    <t>COLEGIO SAN ANTONIO DE PADUA</t>
  </si>
  <si>
    <t>GRAL ROCA E/ PASO Y MADERO 3460</t>
  </si>
  <si>
    <t>4117PP8170</t>
  </si>
  <si>
    <t>ESC. CRISTIANA EVANGELICA BAUTISTA ARGENTINA (E.C.E.B.A.)</t>
  </si>
  <si>
    <t>AV. ITALIA 4251</t>
  </si>
  <si>
    <t>4117MS8666</t>
  </si>
  <si>
    <t>4117PP3051</t>
  </si>
  <si>
    <t>ESCUELA MODELO PROYECTO XXI</t>
  </si>
  <si>
    <t>SAAVEDRA 3848</t>
  </si>
  <si>
    <t>4117PP0590</t>
  </si>
  <si>
    <t>ESCUELA SANTA JUANA DE ARCO</t>
  </si>
  <si>
    <t>C.PELLEGRINI 4357</t>
  </si>
  <si>
    <t>4117MT4950</t>
  </si>
  <si>
    <t>INSTITUTO AGUSTIN ELIZALDE</t>
  </si>
  <si>
    <t>4117MS4915</t>
  </si>
  <si>
    <t>INSTITUTO INMACULADA CONCEPCION</t>
  </si>
  <si>
    <t>MAIPU 3737</t>
  </si>
  <si>
    <t>4117MS7870</t>
  </si>
  <si>
    <t>INSTITUTO MODELO PROYECTO XXI</t>
  </si>
  <si>
    <t>GAZETA DE BS AS E/25 DE MAYO Y CHACABU 3855</t>
  </si>
  <si>
    <t>4117PP0580</t>
  </si>
  <si>
    <t>INSTITUTO NUESTRA SEÑORA DE FATIMA</t>
  </si>
  <si>
    <t>HIPOLITO YRIGOYEN 1661</t>
  </si>
  <si>
    <t>4117MS4919</t>
  </si>
  <si>
    <t>INSTITUTO PADRE ELIZALDE</t>
  </si>
  <si>
    <t>4117MS4940</t>
  </si>
  <si>
    <t>INSTITUTO SAN ANTONIO DE PADUA</t>
  </si>
  <si>
    <t>AV.GENERAL ROCA 3460</t>
  </si>
  <si>
    <t>4117IS4939</t>
  </si>
  <si>
    <t>INSTITUTO SUPERIOR PADRE ELIZALDE</t>
  </si>
  <si>
    <t>4117JI2962</t>
  </si>
  <si>
    <t>JARDÍN MODELO PROYECTO XXI</t>
  </si>
  <si>
    <t>SAAVEDRA 3854</t>
  </si>
  <si>
    <t>4117JI1403</t>
  </si>
  <si>
    <t>JARDIN DE INFANTES ALMENDRITA</t>
  </si>
  <si>
    <t>MONTEVIDEO 1993</t>
  </si>
  <si>
    <t>4117JI7597</t>
  </si>
  <si>
    <t>JARDIN DE INFANTES EL ARCA DE NOE</t>
  </si>
  <si>
    <t>ELIZALDE 377</t>
  </si>
  <si>
    <t>4117JI1631</t>
  </si>
  <si>
    <t>JARDIN DE INFANTES INMACULADA CONCEPCION</t>
  </si>
  <si>
    <t>SANTA JUANA DE ARCO 3728</t>
  </si>
  <si>
    <t>4117JI2129</t>
  </si>
  <si>
    <t>JARDIN DE INFANTES LOS PASTORCITOS DE FATIMA</t>
  </si>
  <si>
    <t>JARDIN DE INFANTES PEQUEÑO MUNDO</t>
  </si>
  <si>
    <t>CHACABUCO 874</t>
  </si>
  <si>
    <t>4117JI1684</t>
  </si>
  <si>
    <t>JARDIN HERMANO SOL-HERMANA LUNA</t>
  </si>
  <si>
    <t>JUAN KEPLER 3451</t>
  </si>
  <si>
    <t>JARDIN MATERNAL LOS PINITOS</t>
  </si>
  <si>
    <t>MISIONES 6460</t>
  </si>
  <si>
    <t>4117PP0591</t>
  </si>
  <si>
    <t>COLEGIO SANTA MARIA</t>
  </si>
  <si>
    <t>EJERCITO DE LOS ANDES Y RICHIERI 1398</t>
  </si>
  <si>
    <t>4117MS6873</t>
  </si>
  <si>
    <t>4117JI5049</t>
  </si>
  <si>
    <t>JARDIN DE INFANTES SANTA MARIA</t>
  </si>
  <si>
    <t>RICHIERI 2632</t>
  </si>
  <si>
    <t>4117PP0817</t>
  </si>
  <si>
    <t>COLEGIO NUESTRA SEÑORA DE LOURDES</t>
  </si>
  <si>
    <t>AV MARQUEZ E/ LAVALLE Y CONGRESO 745</t>
  </si>
  <si>
    <t>4117MS6871</t>
  </si>
  <si>
    <t>4117PP2516</t>
  </si>
  <si>
    <t>COLEGIO SAN JOSE</t>
  </si>
  <si>
    <t>RUTA 8 KM.22 E/ CHURRUCA Y CASTELAR. 10046</t>
  </si>
  <si>
    <t>4117PP0214</t>
  </si>
  <si>
    <t>ESCUELA GABRIELA MISTRAL</t>
  </si>
  <si>
    <t>MAGALDI 729</t>
  </si>
  <si>
    <t>4117JI7667</t>
  </si>
  <si>
    <t>JARDIN APRENDIENDO A CRECER</t>
  </si>
  <si>
    <t>MARIQUITA S. THOMPSON 638</t>
  </si>
  <si>
    <t>4117JI1632</t>
  </si>
  <si>
    <t>JARDIN DE INFANTES NUESTRA SEÑORA DE LOURDES</t>
  </si>
  <si>
    <t>AVENIDA MARQUEZ 775</t>
  </si>
  <si>
    <t>LA CASITA DEL ARBOL</t>
  </si>
  <si>
    <t>GABINO EZEIZA 9393</t>
  </si>
  <si>
    <t>S/ Validar</t>
  </si>
  <si>
    <t>4117MS7873</t>
  </si>
  <si>
    <t>COLEGIO SAGRADO CORAZON DE JESUS</t>
  </si>
  <si>
    <t>LEANDRO N. ALEM 7226</t>
  </si>
  <si>
    <t>4117PP0585</t>
  </si>
  <si>
    <t>ESCUELA SAGRADO CORAZON DE JESUS</t>
  </si>
  <si>
    <t>LEANDRO ALEM E/ SAN RAMON Y 12 DE OCT. 7226</t>
  </si>
  <si>
    <t>4117PP0589</t>
  </si>
  <si>
    <t>INSTITUTO SAN MIGUEL GARICOITS</t>
  </si>
  <si>
    <t>PANAMA Y GARICOITS 6184</t>
  </si>
  <si>
    <t>4117MS7860</t>
  </si>
  <si>
    <t>4117MS4923</t>
  </si>
  <si>
    <t>INSTITUTO SECUNDARIO MARTIN CORONADO</t>
  </si>
  <si>
    <t>NAHUEL HUAPI 6658</t>
  </si>
  <si>
    <t>4117JI2066</t>
  </si>
  <si>
    <t>JARDIN DE INFANTES EL MUNDO DE LOS NIÑOS</t>
  </si>
  <si>
    <t>JUJUY 2070</t>
  </si>
  <si>
    <t>4117JI1474</t>
  </si>
  <si>
    <t>JARDIN SAGRADO CORAZON DE JESUS</t>
  </si>
  <si>
    <t>LEANDRO L. ALEM 7226</t>
  </si>
  <si>
    <t>4117JI2426</t>
  </si>
  <si>
    <t>JARDIN SAN MIGUEL GARICOITS</t>
  </si>
  <si>
    <t>PANAMA 6184</t>
  </si>
  <si>
    <t>4117JI1384</t>
  </si>
  <si>
    <t>JARDIN DE INFANTES EL PINITO</t>
  </si>
  <si>
    <t>SOLDADO CABALLERO 8333</t>
  </si>
  <si>
    <t>4117PP0571</t>
  </si>
  <si>
    <t>COLEGIO INGLES BRIGHTON</t>
  </si>
  <si>
    <t>NTRA SRA DEL CARMEN E/S.PEDRO Y FERNAN 2405</t>
  </si>
  <si>
    <t xml:space="preserve">4117PP0587
</t>
  </si>
  <si>
    <t>COLEGIO SAN CARLOS BORROMEO</t>
  </si>
  <si>
    <t>ESTRADA E/ S. PEÑA Y AMEGHINO 745</t>
  </si>
  <si>
    <t>4117PP3674</t>
  </si>
  <si>
    <t>ESCUELA ABIERTA LA CASA DEL SOL</t>
  </si>
  <si>
    <t>CHILE 1246 VILLA RAFFO</t>
  </si>
  <si>
    <t>4117MS7872</t>
  </si>
  <si>
    <t>ESCUELA ABIERTA NUEVA VISION</t>
  </si>
  <si>
    <t>CHILE 1246</t>
  </si>
  <si>
    <t>4117MM4943</t>
  </si>
  <si>
    <t>INSTITUTO BRIGHTON</t>
  </si>
  <si>
    <t>NTRA.SRA.DEL CARMEN 2405 VILLA RAFFO</t>
  </si>
  <si>
    <t>4117PP0579</t>
  </si>
  <si>
    <t>INSTITUTO NUESTRA SEÑORA DEL CARMEN</t>
  </si>
  <si>
    <t>NUESTRA SEÑORA DEL CARMEN 2366</t>
  </si>
  <si>
    <t>4117MS4926</t>
  </si>
  <si>
    <t>NUESTRA SRA.DEL CARMEN 2366</t>
  </si>
  <si>
    <t>4117JI2696</t>
  </si>
  <si>
    <t>JARDIN DE INFANTES LA CASA DEL SOL</t>
  </si>
  <si>
    <t>CHILE 1265 VILLA RAFFO</t>
  </si>
  <si>
    <t>4117IS4948</t>
  </si>
  <si>
    <t>ESCUELA DE ENFERMERIA DE LA CRUZ ROJA ARGENTINA</t>
  </si>
  <si>
    <t>SEVERINO LANGERI 3670</t>
  </si>
  <si>
    <t>4117PP0581</t>
  </si>
  <si>
    <t>ESCUELA NUESTRA SEÑORA DE LOURDES</t>
  </si>
  <si>
    <t>AV. LA PLATA E/ CANEPA Y SAN CARLOS 3851</t>
  </si>
  <si>
    <t>4117MS4920</t>
  </si>
  <si>
    <t>INSTITUTO NIÑO JESUS</t>
  </si>
  <si>
    <t>A.CARBONE E/ SAN CARLOS Y CANEPA 3862</t>
  </si>
  <si>
    <t>4117PP0578</t>
  </si>
  <si>
    <t>ATILIO CARBONE 3862</t>
  </si>
  <si>
    <t>4117MS4921</t>
  </si>
  <si>
    <t>INSTITUTO NUESTRA SEÑORA DE LOURDES</t>
  </si>
  <si>
    <t>AV.LA PLATA 3851</t>
  </si>
  <si>
    <t>4117MS4916</t>
  </si>
  <si>
    <t>INSTITUTO SANTA TERESITA</t>
  </si>
  <si>
    <t>BONIFACINI E/ CUELLI Y PATRICIOS 4079</t>
  </si>
  <si>
    <t>4117PP0592</t>
  </si>
  <si>
    <t>4117JI5958</t>
  </si>
  <si>
    <t>BONIFACINI 4079</t>
  </si>
  <si>
    <t>4117JI5103</t>
  </si>
  <si>
    <t>JARDIN DE INFANTES SANTA BERNARDITA</t>
  </si>
  <si>
    <t>PADRE SILBERMAN 1726</t>
  </si>
  <si>
    <t>4117PP1122</t>
  </si>
  <si>
    <t>COLEGIO JUAN XXIII</t>
  </si>
  <si>
    <t>JUAN XXIII E/ VEGA Y ASCASUBI 1150</t>
  </si>
  <si>
    <t>4117PP0797</t>
  </si>
  <si>
    <t>INSTITUTO CRISTIANO EVANGELICO ARGENTINO</t>
  </si>
  <si>
    <t>4 DE NOVIEMBRE 5020</t>
  </si>
  <si>
    <t>4117MS4935</t>
  </si>
  <si>
    <t xml:space="preserve">4117JI7596
</t>
  </si>
  <si>
    <t>INSTITUTO ITALO ARGENTINO</t>
  </si>
  <si>
    <t>L. N. ALEM 6859</t>
  </si>
  <si>
    <t>4117PP1237</t>
  </si>
  <si>
    <t>INSTITUTO JOSE JUAN BIEDMA</t>
  </si>
  <si>
    <t>COCHABAMBA 1130</t>
  </si>
  <si>
    <t>4117MS8062</t>
  </si>
  <si>
    <t>4117MS4934</t>
  </si>
  <si>
    <t>INSTITUTO JUAN XXIII</t>
  </si>
  <si>
    <t>JUAN XXIII 1150</t>
  </si>
  <si>
    <t>4117MT4951</t>
  </si>
  <si>
    <t>INSTITUTO LEONARDO MURIALDO</t>
  </si>
  <si>
    <t>JOSE HERNANDEZ 945</t>
  </si>
  <si>
    <t>4117PP8816</t>
  </si>
  <si>
    <t>COLEGIO MOLISANO MONFORTE</t>
  </si>
  <si>
    <t>MARCO POLO 5284</t>
  </si>
  <si>
    <t>4117MS8788</t>
  </si>
  <si>
    <t>4117PP4917</t>
  </si>
  <si>
    <t>INSTITUTO PIO XII</t>
  </si>
  <si>
    <t>4117PP1117</t>
  </si>
  <si>
    <t>INSTITUTO PRECIOSISIMA SANGRE</t>
  </si>
  <si>
    <t>EDUARDO HUERGO 720</t>
  </si>
  <si>
    <t>4117MS7213</t>
  </si>
  <si>
    <t>ECHEVERRIA 6245</t>
  </si>
  <si>
    <t>4117JI2207</t>
  </si>
  <si>
    <t>JARDIN DE INFANTES CAPULLITOS</t>
  </si>
  <si>
    <t>4 DE NOVIEMBRE E/LOS HORNOS Y BALDINI 5020</t>
  </si>
  <si>
    <t>4117JI5445</t>
  </si>
  <si>
    <t>JARDIN DE INFANTES MI ARCO IRIS</t>
  </si>
  <si>
    <t>ECHEVERRIA 5861</t>
  </si>
  <si>
    <t>4117JI1633</t>
  </si>
  <si>
    <t>JARDIN DE INFANTES PRECIOSISIMA SANGRE</t>
  </si>
  <si>
    <t>4117JI3848</t>
  </si>
  <si>
    <t>JARDIN DE INFANTES SAN FRANCISCO DE ASIS</t>
  </si>
  <si>
    <t>VICTOR HUGO 5651</t>
  </si>
  <si>
    <t>4117JI7480</t>
  </si>
  <si>
    <t>JARDIN EL PRINCIPITO FELIZ</t>
  </si>
  <si>
    <t>SARGENTO PALMA 1149</t>
  </si>
  <si>
    <t>4117EE5067</t>
  </si>
  <si>
    <t>SIEMBRA ESCUELA DE LA COMUNICACION Y LENGUAJE</t>
  </si>
  <si>
    <t>COLON 1220 SAENZ PEÑA</t>
  </si>
  <si>
    <t>LOS PASTORCITOS DE FATIMA</t>
  </si>
  <si>
    <t>LITUANIA 3144</t>
  </si>
  <si>
    <t>UNIVERSIDAD TRES DE FEBRERO</t>
  </si>
  <si>
    <t>UNTREF - RECTORADO</t>
  </si>
  <si>
    <t>Mosconi 2736
Sáenz Peña (B1674AHF)</t>
  </si>
  <si>
    <r>
      <rPr>
        <rFont val="Montserrat"/>
        <color rgb="FF000000"/>
        <u/>
      </rPr>
      <t>rectorado@untref.edu.ar</t>
    </r>
  </si>
  <si>
    <t>NACIONAL</t>
  </si>
  <si>
    <t>UNTREF - Sede Caseros I</t>
  </si>
  <si>
    <t>Valentín Gómez 4828/38</t>
  </si>
  <si>
    <r>
      <rPr>
        <rFont val="Montserrat"/>
        <color rgb="FF000000"/>
        <u/>
      </rPr>
      <t>caseros@untref.edu.ar</t>
    </r>
  </si>
  <si>
    <t>UNTREF - Sede Caseros II</t>
  </si>
  <si>
    <t>Valentín Gómez 4752</t>
  </si>
  <si>
    <r>
      <rPr>
        <rFont val="Montserrat"/>
        <color rgb="FF000000"/>
        <u/>
      </rPr>
      <t>caseros@untref.edu.ar</t>
    </r>
  </si>
  <si>
    <t>UNTREF - Sede Caseros III</t>
  </si>
  <si>
    <t>Av. San Martín 2921</t>
  </si>
  <si>
    <r>
      <rPr>
        <rFont val="Montserrat"/>
        <color rgb="FF000000"/>
        <u/>
      </rPr>
      <t>caseros@untref.edu.ar</t>
    </r>
  </si>
  <si>
    <t>UNTREF - Sede Caseros IV</t>
  </si>
  <si>
    <t>Av. San Martín 2508</t>
  </si>
  <si>
    <r>
      <rPr>
        <rFont val="Montserrat"/>
        <color rgb="FF000000"/>
        <u/>
      </rPr>
      <t>caseros@untref.edu.ar</t>
    </r>
  </si>
  <si>
    <t>UNTREF - Sede Villa Lynch</t>
  </si>
  <si>
    <t>Dr. Alfredo Springolo S/N - Entre Pje. Marín y Benito Lynch
Saenz Peña</t>
  </si>
  <si>
    <t>UNTREF - Sede Aromos</t>
  </si>
  <si>
    <t xml:space="preserve">Los Aromos 6231
Palomar </t>
  </si>
  <si>
    <r>
      <rPr>
        <rFont val="Montserrat"/>
        <color rgb="FF000000"/>
        <u/>
      </rPr>
      <t>aromos@untref.edu.ar</t>
    </r>
  </si>
  <si>
    <t>COMENTARIO :
- 1 er Objetivo ==&gt; Pensar en agregar las instituciones privadas, EMMU, EMAC y Capacyt
- Turnos (Tarde - Mañana - Doble Turno)
- Maternal o no
- c/ comedor o no
- Agregar inscripciones de jardines
- Capacidad de la Institución
- Teléfonos
- Sumar CFP, Untref, SAD, Consejo Escolar, Comedores
Información de cupos que podamos tener del SAE
Matrícula
Niños con CUD, que tengan algunas maestra integradora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</si>
</sst>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7">
    <font>
      <sz val="10.0"/>
      <color rgb="FF000000"/>
      <name val="Arial"/>
      <scheme val="minor"/>
    </font>
    <font>
      <b/>
      <sz val="12.0"/>
      <color rgb="FFF3F3F3"/>
      <name val="Barlow"/>
    </font>
    <font>
      <b/>
      <sz val="12.0"/>
      <color theme="1"/>
      <name val="Barlow"/>
    </font>
    <font>
      <color theme="1"/>
      <name val="Montserrat"/>
    </font>
    <font>
      <sz val="11.0"/>
      <color theme="1"/>
      <name val="Montserrat"/>
    </font>
    <font>
      <u/>
      <color rgb="FF000000"/>
      <name val="Montserrat"/>
    </font>
    <font>
      <b/>
      <color rgb="FF000000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84CCC6"/>
        <bgColor rgb="FF84CCC6"/>
      </patternFill>
    </fill>
  </fills>
  <borders count="7">
    <border/>
    <border>
      <left style="dotted">
        <color rgb="FF274E13"/>
      </left>
      <right style="dotted">
        <color rgb="FF274E13"/>
      </right>
      <top style="dotted">
        <color rgb="FF274E13"/>
      </top>
      <bottom style="dotted">
        <color rgb="FF274E13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274E13"/>
      </left>
      <right style="dotted">
        <color rgb="FF274E13"/>
      </right>
      <top style="dotted">
        <color rgb="FF274E13"/>
      </top>
    </border>
    <border>
      <left style="dotted">
        <color rgb="FF274E13"/>
      </left>
      <top style="dotted">
        <color rgb="FF274E13"/>
      </top>
      <bottom style="dotted">
        <color rgb="FF274E13"/>
      </bottom>
    </border>
    <border>
      <left style="dotted">
        <color rgb="FF274E13"/>
      </left>
      <top style="dotted">
        <color rgb="FF274E13"/>
      </top>
    </border>
    <border>
      <left style="dotted">
        <color rgb="FF000000"/>
      </lef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4" fillId="0" fontId="4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4" fillId="3" fontId="3" numFmtId="164" xfId="0" applyAlignment="1" applyBorder="1" applyFill="1" applyFont="1" applyNumberFormat="1">
      <alignment horizontal="center" vertical="center"/>
    </xf>
    <xf borderId="1" fillId="3" fontId="3" numFmtId="164" xfId="0" applyAlignment="1" applyBorder="1" applyFill="1" applyFont="1" applyNumberFormat="1">
      <alignment horizontal="center" vertical="center"/>
    </xf>
    <xf borderId="2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2" fillId="0" fontId="3" numFmtId="49" xfId="0" applyAlignment="1" applyBorder="1" applyFont="1" applyNumberForma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0" fillId="4" fontId="6" numFmtId="0" xfId="0" applyAlignment="1" applyFill="1" applyFont="1">
      <alignment horizontal="left" readingOrder="0" shrinkToFit="0" vertical="center" wrapText="0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274E13"/>
          <bgColor rgb="FF274E1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ectorado@untref.edu.ar" TargetMode="External"/><Relationship Id="rId2" Type="http://schemas.openxmlformats.org/officeDocument/2006/relationships/hyperlink" Target="mailto:caseros@untref.edu.ar" TargetMode="External"/><Relationship Id="rId3" Type="http://schemas.openxmlformats.org/officeDocument/2006/relationships/hyperlink" Target="mailto:caseros@untref.edu.ar" TargetMode="External"/><Relationship Id="rId4" Type="http://schemas.openxmlformats.org/officeDocument/2006/relationships/hyperlink" Target="mailto:caseros@untref.edu.ar" TargetMode="External"/><Relationship Id="rId5" Type="http://schemas.openxmlformats.org/officeDocument/2006/relationships/hyperlink" Target="mailto:caseros@untref.edu.ar" TargetMode="External"/><Relationship Id="rId6" Type="http://schemas.openxmlformats.org/officeDocument/2006/relationships/hyperlink" Target="mailto:aromos@untref.edu.ar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1.5"/>
    <col customWidth="1" min="2" max="2" width="17.38"/>
    <col customWidth="1" min="3" max="3" width="46.13"/>
    <col customWidth="1" min="4" max="4" width="37.25"/>
    <col customWidth="1" min="5" max="5" width="49.25"/>
    <col customWidth="1" min="6" max="7" width="11.38"/>
    <col customWidth="1" min="8" max="8" width="31.63"/>
    <col customWidth="1" min="9" max="9" width="15.88"/>
    <col customWidth="1" hidden="1" min="10" max="10" width="11.5"/>
    <col customWidth="1" hidden="1" min="11" max="11" width="28.38"/>
    <col hidden="1" min="12" max="14" width="12.63"/>
  </cols>
  <sheetData>
    <row r="1" ht="46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24.0" customHeight="1">
      <c r="A2" s="6" t="s">
        <v>14</v>
      </c>
      <c r="B2" s="6" t="s">
        <v>15</v>
      </c>
      <c r="C2" s="6" t="s">
        <v>16</v>
      </c>
      <c r="D2" s="6"/>
      <c r="E2" s="6" t="s">
        <v>17</v>
      </c>
      <c r="F2" s="6">
        <v>-58.5415</v>
      </c>
      <c r="G2" s="6">
        <v>-34.6237</v>
      </c>
      <c r="H2" s="6" t="s">
        <v>18</v>
      </c>
      <c r="I2" s="7" t="s">
        <v>19</v>
      </c>
      <c r="J2" s="8" t="s">
        <v>20</v>
      </c>
      <c r="K2" s="7" t="s">
        <v>21</v>
      </c>
      <c r="L2" s="9">
        <f t="shared" ref="L2:L135" si="1">VLOOKUP(C2,'Hoja 5'!$A$2:$D$135,2,FALSE())</f>
        <v>120</v>
      </c>
      <c r="M2" s="9">
        <f t="shared" ref="M2:M135" si="2">VLOOKUP(C2,'Hoja 5'!$A$2:$D$135,3,FALSE())</f>
        <v>120</v>
      </c>
      <c r="N2" s="9">
        <f t="shared" ref="N2:N135" si="3">VLOOKUP(C2,'Hoja 5'!$A$2:$D$135,4,FALSE())</f>
        <v>120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24.0" customHeight="1">
      <c r="A3" s="6" t="s">
        <v>22</v>
      </c>
      <c r="B3" s="6" t="s">
        <v>15</v>
      </c>
      <c r="C3" s="6" t="s">
        <v>23</v>
      </c>
      <c r="D3" s="6"/>
      <c r="E3" s="6" t="s">
        <v>24</v>
      </c>
      <c r="F3" s="6">
        <v>-58.5582</v>
      </c>
      <c r="G3" s="6">
        <v>-34.6187</v>
      </c>
      <c r="H3" s="6" t="s">
        <v>25</v>
      </c>
      <c r="I3" s="7" t="s">
        <v>19</v>
      </c>
      <c r="J3" s="8" t="s">
        <v>26</v>
      </c>
      <c r="K3" s="7" t="s">
        <v>21</v>
      </c>
      <c r="L3" s="9">
        <f t="shared" si="1"/>
        <v>90</v>
      </c>
      <c r="M3" s="9">
        <f t="shared" si="2"/>
        <v>130</v>
      </c>
      <c r="N3" s="9">
        <f t="shared" si="3"/>
        <v>130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24.0" customHeight="1">
      <c r="A4" s="6" t="s">
        <v>27</v>
      </c>
      <c r="B4" s="6" t="s">
        <v>15</v>
      </c>
      <c r="C4" s="6" t="s">
        <v>28</v>
      </c>
      <c r="D4" s="6"/>
      <c r="E4" s="6" t="s">
        <v>29</v>
      </c>
      <c r="F4" s="6">
        <v>-58.5563</v>
      </c>
      <c r="G4" s="6">
        <v>-34.6173</v>
      </c>
      <c r="H4" s="6" t="s">
        <v>30</v>
      </c>
      <c r="I4" s="7" t="s">
        <v>19</v>
      </c>
      <c r="J4" s="8" t="s">
        <v>20</v>
      </c>
      <c r="K4" s="7" t="s">
        <v>21</v>
      </c>
      <c r="L4" s="9">
        <f t="shared" si="1"/>
        <v>150</v>
      </c>
      <c r="M4" s="9">
        <f t="shared" si="2"/>
        <v>161</v>
      </c>
      <c r="N4" s="9">
        <f t="shared" si="3"/>
        <v>165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24.0" customHeight="1">
      <c r="A5" s="6" t="s">
        <v>31</v>
      </c>
      <c r="B5" s="6" t="s">
        <v>15</v>
      </c>
      <c r="C5" s="6" t="s">
        <v>32</v>
      </c>
      <c r="D5" s="6"/>
      <c r="E5" s="6" t="s">
        <v>33</v>
      </c>
      <c r="F5" s="6">
        <v>-58.5827</v>
      </c>
      <c r="G5" s="6">
        <v>-34.5849</v>
      </c>
      <c r="H5" s="6" t="s">
        <v>34</v>
      </c>
      <c r="I5" s="7" t="s">
        <v>19</v>
      </c>
      <c r="J5" s="8" t="s">
        <v>20</v>
      </c>
      <c r="K5" s="7" t="s">
        <v>21</v>
      </c>
      <c r="L5" s="9">
        <f t="shared" si="1"/>
        <v>77</v>
      </c>
      <c r="M5" s="9">
        <f t="shared" si="2"/>
        <v>90</v>
      </c>
      <c r="N5" s="9">
        <f t="shared" si="3"/>
        <v>90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24.0" customHeight="1">
      <c r="A6" s="6" t="s">
        <v>35</v>
      </c>
      <c r="B6" s="6" t="s">
        <v>15</v>
      </c>
      <c r="C6" s="6" t="s">
        <v>36</v>
      </c>
      <c r="D6" s="6"/>
      <c r="E6" s="6" t="s">
        <v>37</v>
      </c>
      <c r="F6" s="6">
        <v>-58.5668</v>
      </c>
      <c r="G6" s="6">
        <v>-34.6252</v>
      </c>
      <c r="H6" s="6" t="s">
        <v>38</v>
      </c>
      <c r="I6" s="7" t="s">
        <v>19</v>
      </c>
      <c r="J6" s="8" t="s">
        <v>20</v>
      </c>
      <c r="K6" s="7" t="s">
        <v>21</v>
      </c>
      <c r="L6" s="9">
        <f t="shared" si="1"/>
        <v>120</v>
      </c>
      <c r="M6" s="9">
        <f t="shared" si="2"/>
        <v>163</v>
      </c>
      <c r="N6" s="9">
        <f t="shared" si="3"/>
        <v>163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24.0" customHeight="1">
      <c r="A7" s="6" t="s">
        <v>39</v>
      </c>
      <c r="B7" s="6" t="s">
        <v>40</v>
      </c>
      <c r="C7" s="6" t="s">
        <v>41</v>
      </c>
      <c r="D7" s="6"/>
      <c r="E7" s="6" t="s">
        <v>42</v>
      </c>
      <c r="F7" s="6">
        <v>-58.5664</v>
      </c>
      <c r="G7" s="6">
        <v>-34.6014</v>
      </c>
      <c r="H7" s="6" t="s">
        <v>43</v>
      </c>
      <c r="I7" s="7" t="s">
        <v>19</v>
      </c>
      <c r="J7" s="8" t="s">
        <v>44</v>
      </c>
      <c r="K7" s="7" t="s">
        <v>21</v>
      </c>
      <c r="L7" s="9">
        <f t="shared" si="1"/>
        <v>80</v>
      </c>
      <c r="M7" s="9">
        <f t="shared" si="2"/>
        <v>78</v>
      </c>
      <c r="N7" s="9">
        <f t="shared" si="3"/>
        <v>88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24.0" customHeight="1">
      <c r="A8" s="6" t="s">
        <v>45</v>
      </c>
      <c r="B8" s="6" t="s">
        <v>40</v>
      </c>
      <c r="C8" s="6" t="s">
        <v>46</v>
      </c>
      <c r="D8" s="6"/>
      <c r="E8" s="6" t="s">
        <v>47</v>
      </c>
      <c r="F8" s="6">
        <v>-58.5574</v>
      </c>
      <c r="G8" s="6">
        <v>-34.606</v>
      </c>
      <c r="H8" s="6" t="s">
        <v>48</v>
      </c>
      <c r="I8" s="7" t="s">
        <v>19</v>
      </c>
      <c r="J8" s="8" t="s">
        <v>49</v>
      </c>
      <c r="K8" s="7" t="s">
        <v>21</v>
      </c>
      <c r="L8" s="9">
        <f t="shared" si="1"/>
        <v>110</v>
      </c>
      <c r="M8" s="9">
        <f t="shared" si="2"/>
        <v>116</v>
      </c>
      <c r="N8" s="9">
        <f t="shared" si="3"/>
        <v>100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24.0" customHeight="1">
      <c r="A9" s="6" t="s">
        <v>50</v>
      </c>
      <c r="B9" s="6" t="s">
        <v>40</v>
      </c>
      <c r="C9" s="6" t="s">
        <v>51</v>
      </c>
      <c r="D9" s="6"/>
      <c r="E9" s="6" t="s">
        <v>52</v>
      </c>
      <c r="F9" s="6">
        <v>-58.5365</v>
      </c>
      <c r="G9" s="6">
        <v>-34.6203</v>
      </c>
      <c r="H9" s="6" t="s">
        <v>53</v>
      </c>
      <c r="I9" s="7" t="s">
        <v>19</v>
      </c>
      <c r="J9" s="8" t="s">
        <v>54</v>
      </c>
      <c r="K9" s="7" t="s">
        <v>21</v>
      </c>
      <c r="L9" s="9">
        <f t="shared" si="1"/>
        <v>272</v>
      </c>
      <c r="M9" s="9">
        <f t="shared" si="2"/>
        <v>270</v>
      </c>
      <c r="N9" s="9">
        <f t="shared" si="3"/>
        <v>270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24.0" customHeight="1">
      <c r="A10" s="6" t="s">
        <v>55</v>
      </c>
      <c r="B10" s="6" t="s">
        <v>40</v>
      </c>
      <c r="C10" s="6" t="s">
        <v>56</v>
      </c>
      <c r="D10" s="6"/>
      <c r="E10" s="6" t="s">
        <v>57</v>
      </c>
      <c r="F10" s="6">
        <v>-58.5654</v>
      </c>
      <c r="G10" s="6">
        <v>-34.6148</v>
      </c>
      <c r="H10" s="6" t="s">
        <v>58</v>
      </c>
      <c r="I10" s="7" t="s">
        <v>19</v>
      </c>
      <c r="J10" s="8" t="s">
        <v>20</v>
      </c>
      <c r="K10" s="7" t="s">
        <v>21</v>
      </c>
      <c r="L10" s="9">
        <f t="shared" si="1"/>
        <v>216</v>
      </c>
      <c r="M10" s="9">
        <f t="shared" si="2"/>
        <v>216</v>
      </c>
      <c r="N10" s="9">
        <f t="shared" si="3"/>
        <v>209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24.0" customHeight="1">
      <c r="A11" s="6" t="s">
        <v>59</v>
      </c>
      <c r="B11" s="6" t="s">
        <v>40</v>
      </c>
      <c r="C11" s="6" t="s">
        <v>60</v>
      </c>
      <c r="D11" s="6"/>
      <c r="E11" s="6" t="s">
        <v>61</v>
      </c>
      <c r="F11" s="6">
        <v>-58.5679</v>
      </c>
      <c r="G11" s="6">
        <v>-34.5957</v>
      </c>
      <c r="H11" s="6" t="s">
        <v>62</v>
      </c>
      <c r="I11" s="7" t="s">
        <v>19</v>
      </c>
      <c r="J11" s="8" t="s">
        <v>20</v>
      </c>
      <c r="K11" s="7" t="s">
        <v>21</v>
      </c>
      <c r="L11" s="9">
        <f t="shared" si="1"/>
        <v>426</v>
      </c>
      <c r="M11" s="9">
        <f t="shared" si="2"/>
        <v>390</v>
      </c>
      <c r="N11" s="9">
        <f t="shared" si="3"/>
        <v>300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ht="24.0" customHeight="1">
      <c r="A12" s="6" t="s">
        <v>63</v>
      </c>
      <c r="B12" s="6" t="s">
        <v>40</v>
      </c>
      <c r="C12" s="6" t="s">
        <v>64</v>
      </c>
      <c r="D12" s="6"/>
      <c r="E12" s="6" t="s">
        <v>65</v>
      </c>
      <c r="F12" s="6">
        <v>-58.5443</v>
      </c>
      <c r="G12" s="6">
        <v>-34.6036</v>
      </c>
      <c r="H12" s="6" t="s">
        <v>66</v>
      </c>
      <c r="I12" s="7" t="s">
        <v>19</v>
      </c>
      <c r="J12" s="8" t="s">
        <v>44</v>
      </c>
      <c r="K12" s="7" t="s">
        <v>21</v>
      </c>
      <c r="L12" s="9">
        <f t="shared" si="1"/>
        <v>115</v>
      </c>
      <c r="M12" s="9">
        <f t="shared" si="2"/>
        <v>102</v>
      </c>
      <c r="N12" s="9">
        <f t="shared" si="3"/>
        <v>102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ht="24.0" customHeight="1">
      <c r="A13" s="6" t="s">
        <v>67</v>
      </c>
      <c r="B13" s="6" t="s">
        <v>40</v>
      </c>
      <c r="C13" s="6" t="s">
        <v>68</v>
      </c>
      <c r="D13" s="6"/>
      <c r="E13" s="6" t="s">
        <v>69</v>
      </c>
      <c r="F13" s="6">
        <v>-58.5771</v>
      </c>
      <c r="G13" s="6">
        <v>-34.6133</v>
      </c>
      <c r="H13" s="6" t="s">
        <v>70</v>
      </c>
      <c r="I13" s="7" t="s">
        <v>19</v>
      </c>
      <c r="J13" s="8" t="s">
        <v>20</v>
      </c>
      <c r="K13" s="7" t="s">
        <v>21</v>
      </c>
      <c r="L13" s="9">
        <f t="shared" si="1"/>
        <v>278</v>
      </c>
      <c r="M13" s="9">
        <f t="shared" si="2"/>
        <v>268</v>
      </c>
      <c r="N13" s="9">
        <f t="shared" si="3"/>
        <v>252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24.0" customHeight="1">
      <c r="A14" s="6" t="s">
        <v>71</v>
      </c>
      <c r="B14" s="6" t="s">
        <v>40</v>
      </c>
      <c r="C14" s="6" t="s">
        <v>72</v>
      </c>
      <c r="D14" s="6"/>
      <c r="E14" s="6" t="s">
        <v>73</v>
      </c>
      <c r="F14" s="6">
        <v>-58.5605</v>
      </c>
      <c r="G14" s="6">
        <v>-34.6204</v>
      </c>
      <c r="H14" s="6" t="s">
        <v>74</v>
      </c>
      <c r="I14" s="7" t="s">
        <v>19</v>
      </c>
      <c r="J14" s="8" t="s">
        <v>75</v>
      </c>
      <c r="K14" s="7" t="s">
        <v>21</v>
      </c>
      <c r="L14" s="9">
        <f t="shared" si="1"/>
        <v>92</v>
      </c>
      <c r="M14" s="9">
        <f t="shared" si="2"/>
        <v>80</v>
      </c>
      <c r="N14" s="9">
        <f t="shared" si="3"/>
        <v>70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t="24.0" customHeight="1">
      <c r="A15" s="6" t="s">
        <v>76</v>
      </c>
      <c r="B15" s="6" t="s">
        <v>40</v>
      </c>
      <c r="C15" s="6" t="s">
        <v>77</v>
      </c>
      <c r="D15" s="6"/>
      <c r="E15" s="6" t="s">
        <v>78</v>
      </c>
      <c r="F15" s="6">
        <v>-58.5813</v>
      </c>
      <c r="G15" s="6">
        <v>-34.6072</v>
      </c>
      <c r="H15" s="6" t="s">
        <v>79</v>
      </c>
      <c r="I15" s="7" t="s">
        <v>19</v>
      </c>
      <c r="J15" s="8" t="s">
        <v>54</v>
      </c>
      <c r="K15" s="7" t="s">
        <v>21</v>
      </c>
      <c r="L15" s="9">
        <f t="shared" si="1"/>
        <v>298</v>
      </c>
      <c r="M15" s="9">
        <f t="shared" si="2"/>
        <v>259</v>
      </c>
      <c r="N15" s="9">
        <f t="shared" si="3"/>
        <v>259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24.0" customHeight="1">
      <c r="A16" s="6" t="s">
        <v>80</v>
      </c>
      <c r="B16" s="6" t="s">
        <v>40</v>
      </c>
      <c r="C16" s="6" t="s">
        <v>81</v>
      </c>
      <c r="D16" s="6"/>
      <c r="E16" s="6" t="s">
        <v>82</v>
      </c>
      <c r="F16" s="6">
        <v>-58.573</v>
      </c>
      <c r="G16" s="6">
        <v>-34.6191</v>
      </c>
      <c r="H16" s="6" t="s">
        <v>83</v>
      </c>
      <c r="I16" s="7" t="s">
        <v>19</v>
      </c>
      <c r="J16" s="8" t="s">
        <v>20</v>
      </c>
      <c r="K16" s="7" t="s">
        <v>21</v>
      </c>
      <c r="L16" s="9">
        <f t="shared" si="1"/>
        <v>282</v>
      </c>
      <c r="M16" s="9">
        <f t="shared" si="2"/>
        <v>248</v>
      </c>
      <c r="N16" s="9">
        <f t="shared" si="3"/>
        <v>248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24.0" customHeight="1">
      <c r="A17" s="6" t="s">
        <v>84</v>
      </c>
      <c r="B17" s="6" t="s">
        <v>40</v>
      </c>
      <c r="C17" s="6" t="s">
        <v>85</v>
      </c>
      <c r="D17" s="6"/>
      <c r="E17" s="6" t="s">
        <v>86</v>
      </c>
      <c r="F17" s="6">
        <v>-58.5649</v>
      </c>
      <c r="G17" s="6">
        <v>-34.6065</v>
      </c>
      <c r="H17" s="6" t="s">
        <v>87</v>
      </c>
      <c r="I17" s="7" t="s">
        <v>19</v>
      </c>
      <c r="J17" s="8" t="s">
        <v>44</v>
      </c>
      <c r="K17" s="7" t="s">
        <v>21</v>
      </c>
      <c r="L17" s="9">
        <f t="shared" si="1"/>
        <v>230</v>
      </c>
      <c r="M17" s="9">
        <f t="shared" si="2"/>
        <v>232</v>
      </c>
      <c r="N17" s="9">
        <f t="shared" si="3"/>
        <v>232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24.0" customHeight="1">
      <c r="A18" s="6" t="s">
        <v>88</v>
      </c>
      <c r="B18" s="6" t="s">
        <v>40</v>
      </c>
      <c r="C18" s="6" t="s">
        <v>89</v>
      </c>
      <c r="D18" s="6"/>
      <c r="E18" s="6" t="s">
        <v>90</v>
      </c>
      <c r="F18" s="6">
        <v>-58.5417</v>
      </c>
      <c r="G18" s="6">
        <v>-34.6238</v>
      </c>
      <c r="H18" s="6" t="s">
        <v>91</v>
      </c>
      <c r="I18" s="7" t="s">
        <v>19</v>
      </c>
      <c r="J18" s="8" t="s">
        <v>44</v>
      </c>
      <c r="K18" s="7" t="s">
        <v>21</v>
      </c>
      <c r="L18" s="9">
        <f t="shared" si="1"/>
        <v>105</v>
      </c>
      <c r="M18" s="9">
        <f t="shared" si="2"/>
        <v>98</v>
      </c>
      <c r="N18" s="9">
        <f t="shared" si="3"/>
        <v>100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24.0" customHeight="1">
      <c r="A19" s="6" t="s">
        <v>92</v>
      </c>
      <c r="B19" s="6" t="s">
        <v>40</v>
      </c>
      <c r="C19" s="6" t="s">
        <v>93</v>
      </c>
      <c r="D19" s="6"/>
      <c r="E19" s="6" t="s">
        <v>94</v>
      </c>
      <c r="F19" s="6">
        <v>-58.5519</v>
      </c>
      <c r="G19" s="6">
        <v>-34.5937</v>
      </c>
      <c r="H19" s="6" t="s">
        <v>95</v>
      </c>
      <c r="I19" s="7" t="s">
        <v>19</v>
      </c>
      <c r="J19" s="8" t="s">
        <v>54</v>
      </c>
      <c r="K19" s="7" t="s">
        <v>21</v>
      </c>
      <c r="L19" s="9">
        <f t="shared" si="1"/>
        <v>299</v>
      </c>
      <c r="M19" s="9">
        <f t="shared" si="2"/>
        <v>291</v>
      </c>
      <c r="N19" s="9">
        <f t="shared" si="3"/>
        <v>290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24.0" customHeight="1">
      <c r="A20" s="6" t="s">
        <v>96</v>
      </c>
      <c r="B20" s="6" t="s">
        <v>40</v>
      </c>
      <c r="C20" s="6" t="s">
        <v>97</v>
      </c>
      <c r="D20" s="6"/>
      <c r="E20" s="6" t="s">
        <v>98</v>
      </c>
      <c r="F20" s="6">
        <v>-58.5439</v>
      </c>
      <c r="G20" s="6">
        <v>-34.6143</v>
      </c>
      <c r="H20" s="6" t="s">
        <v>99</v>
      </c>
      <c r="I20" s="7" t="s">
        <v>19</v>
      </c>
      <c r="J20" s="8" t="s">
        <v>54</v>
      </c>
      <c r="K20" s="7" t="s">
        <v>21</v>
      </c>
      <c r="L20" s="9">
        <f t="shared" si="1"/>
        <v>240</v>
      </c>
      <c r="M20" s="9">
        <f t="shared" si="2"/>
        <v>243</v>
      </c>
      <c r="N20" s="9">
        <f t="shared" si="3"/>
        <v>240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ht="24.0" customHeight="1">
      <c r="A21" s="6" t="s">
        <v>100</v>
      </c>
      <c r="B21" s="6" t="s">
        <v>40</v>
      </c>
      <c r="C21" s="6" t="s">
        <v>101</v>
      </c>
      <c r="D21" s="6"/>
      <c r="E21" s="6" t="s">
        <v>102</v>
      </c>
      <c r="F21" s="6">
        <v>-58.5743</v>
      </c>
      <c r="G21" s="6">
        <v>-34.5873</v>
      </c>
      <c r="H21" s="6" t="s">
        <v>103</v>
      </c>
      <c r="I21" s="7" t="s">
        <v>19</v>
      </c>
      <c r="J21" s="8" t="s">
        <v>20</v>
      </c>
      <c r="K21" s="7" t="s">
        <v>21</v>
      </c>
      <c r="L21" s="9">
        <f t="shared" si="1"/>
        <v>310</v>
      </c>
      <c r="M21" s="9">
        <f t="shared" si="2"/>
        <v>276</v>
      </c>
      <c r="N21" s="9">
        <f t="shared" si="3"/>
        <v>276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ht="24.0" customHeight="1">
      <c r="A22" s="6" t="s">
        <v>104</v>
      </c>
      <c r="B22" s="6" t="s">
        <v>40</v>
      </c>
      <c r="C22" s="6" t="s">
        <v>105</v>
      </c>
      <c r="D22" s="6"/>
      <c r="E22" s="6" t="s">
        <v>106</v>
      </c>
      <c r="F22" s="6">
        <v>-58.5938</v>
      </c>
      <c r="G22" s="6">
        <v>-34.596</v>
      </c>
      <c r="H22" s="6" t="s">
        <v>107</v>
      </c>
      <c r="I22" s="7" t="s">
        <v>19</v>
      </c>
      <c r="J22" s="8" t="s">
        <v>20</v>
      </c>
      <c r="K22" s="7" t="s">
        <v>21</v>
      </c>
      <c r="L22" s="9">
        <f t="shared" si="1"/>
        <v>466</v>
      </c>
      <c r="M22" s="9">
        <f t="shared" si="2"/>
        <v>464</v>
      </c>
      <c r="N22" s="9">
        <f t="shared" si="3"/>
        <v>416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ht="24.0" customHeight="1">
      <c r="A23" s="6" t="s">
        <v>108</v>
      </c>
      <c r="B23" s="6" t="s">
        <v>40</v>
      </c>
      <c r="C23" s="6" t="s">
        <v>109</v>
      </c>
      <c r="D23" s="6"/>
      <c r="E23" s="6" t="s">
        <v>110</v>
      </c>
      <c r="F23" s="6">
        <v>-58.5367</v>
      </c>
      <c r="G23" s="6">
        <v>-34.6024</v>
      </c>
      <c r="H23" s="6" t="s">
        <v>111</v>
      </c>
      <c r="I23" s="7" t="s">
        <v>19</v>
      </c>
      <c r="J23" s="8" t="s">
        <v>20</v>
      </c>
      <c r="K23" s="7" t="s">
        <v>21</v>
      </c>
      <c r="L23" s="9">
        <f t="shared" si="1"/>
        <v>242</v>
      </c>
      <c r="M23" s="9">
        <f t="shared" si="2"/>
        <v>210</v>
      </c>
      <c r="N23" s="9">
        <f t="shared" si="3"/>
        <v>196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ht="24.0" customHeight="1">
      <c r="A24" s="6" t="s">
        <v>112</v>
      </c>
      <c r="B24" s="6" t="s">
        <v>40</v>
      </c>
      <c r="C24" s="6" t="s">
        <v>113</v>
      </c>
      <c r="D24" s="6"/>
      <c r="E24" s="6" t="s">
        <v>114</v>
      </c>
      <c r="F24" s="6">
        <v>-58.5631</v>
      </c>
      <c r="G24" s="6">
        <v>-34.6269</v>
      </c>
      <c r="H24" s="6" t="s">
        <v>115</v>
      </c>
      <c r="I24" s="7" t="s">
        <v>19</v>
      </c>
      <c r="J24" s="8" t="s">
        <v>20</v>
      </c>
      <c r="K24" s="7" t="s">
        <v>21</v>
      </c>
      <c r="L24" s="9">
        <f t="shared" si="1"/>
        <v>310</v>
      </c>
      <c r="M24" s="9">
        <f t="shared" si="2"/>
        <v>310</v>
      </c>
      <c r="N24" s="9">
        <f t="shared" si="3"/>
        <v>310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ht="24.0" customHeight="1">
      <c r="A25" s="6" t="s">
        <v>116</v>
      </c>
      <c r="B25" s="6" t="s">
        <v>40</v>
      </c>
      <c r="C25" s="6" t="s">
        <v>117</v>
      </c>
      <c r="D25" s="6"/>
      <c r="E25" s="6" t="s">
        <v>118</v>
      </c>
      <c r="F25" s="6">
        <v>-58.5948</v>
      </c>
      <c r="G25" s="6">
        <v>-34.5884</v>
      </c>
      <c r="H25" s="6" t="s">
        <v>119</v>
      </c>
      <c r="I25" s="7" t="s">
        <v>19</v>
      </c>
      <c r="J25" s="8" t="s">
        <v>20</v>
      </c>
      <c r="K25" s="7" t="s">
        <v>21</v>
      </c>
      <c r="L25" s="9">
        <f t="shared" si="1"/>
        <v>255</v>
      </c>
      <c r="M25" s="9">
        <f t="shared" si="2"/>
        <v>241</v>
      </c>
      <c r="N25" s="9">
        <f t="shared" si="3"/>
        <v>241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ht="24.0" customHeight="1">
      <c r="A26" s="6" t="s">
        <v>120</v>
      </c>
      <c r="B26" s="6" t="s">
        <v>40</v>
      </c>
      <c r="C26" s="6" t="s">
        <v>121</v>
      </c>
      <c r="D26" s="6"/>
      <c r="E26" s="6" t="s">
        <v>122</v>
      </c>
      <c r="F26" s="6">
        <v>-58.5902</v>
      </c>
      <c r="G26" s="6">
        <v>-34.5832</v>
      </c>
      <c r="H26" s="6" t="s">
        <v>123</v>
      </c>
      <c r="I26" s="7" t="s">
        <v>19</v>
      </c>
      <c r="J26" s="8" t="s">
        <v>44</v>
      </c>
      <c r="K26" s="7" t="s">
        <v>21</v>
      </c>
      <c r="L26" s="9">
        <f t="shared" si="1"/>
        <v>136</v>
      </c>
      <c r="M26" s="9">
        <f t="shared" si="2"/>
        <v>106</v>
      </c>
      <c r="N26" s="9">
        <f t="shared" si="3"/>
        <v>80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ht="24.0" customHeight="1">
      <c r="A27" s="6" t="s">
        <v>124</v>
      </c>
      <c r="B27" s="6" t="s">
        <v>40</v>
      </c>
      <c r="C27" s="6" t="s">
        <v>125</v>
      </c>
      <c r="D27" s="6"/>
      <c r="E27" s="6" t="s">
        <v>126</v>
      </c>
      <c r="F27" s="6">
        <v>-58.5334</v>
      </c>
      <c r="G27" s="6">
        <v>-34.6189</v>
      </c>
      <c r="H27" s="6" t="s">
        <v>127</v>
      </c>
      <c r="I27" s="7" t="s">
        <v>19</v>
      </c>
      <c r="J27" s="8" t="s">
        <v>20</v>
      </c>
      <c r="K27" s="7" t="s">
        <v>21</v>
      </c>
      <c r="L27" s="9">
        <f t="shared" si="1"/>
        <v>246</v>
      </c>
      <c r="M27" s="9">
        <f t="shared" si="2"/>
        <v>255</v>
      </c>
      <c r="N27" s="9">
        <f t="shared" si="3"/>
        <v>230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ht="24.0" customHeight="1">
      <c r="A28" s="6" t="s">
        <v>128</v>
      </c>
      <c r="B28" s="6" t="s">
        <v>40</v>
      </c>
      <c r="C28" s="6" t="s">
        <v>129</v>
      </c>
      <c r="D28" s="6"/>
      <c r="E28" s="6" t="s">
        <v>130</v>
      </c>
      <c r="F28" s="6">
        <v>-58.5838</v>
      </c>
      <c r="G28" s="6">
        <v>-34.5812</v>
      </c>
      <c r="H28" s="6" t="s">
        <v>131</v>
      </c>
      <c r="I28" s="7" t="s">
        <v>19</v>
      </c>
      <c r="J28" s="8" t="s">
        <v>20</v>
      </c>
      <c r="K28" s="7" t="s">
        <v>21</v>
      </c>
      <c r="L28" s="9">
        <f t="shared" si="1"/>
        <v>260</v>
      </c>
      <c r="M28" s="9">
        <f t="shared" si="2"/>
        <v>238</v>
      </c>
      <c r="N28" s="9">
        <f t="shared" si="3"/>
        <v>238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ht="24.0" customHeight="1">
      <c r="A29" s="6" t="s">
        <v>132</v>
      </c>
      <c r="B29" s="6" t="s">
        <v>40</v>
      </c>
      <c r="C29" s="6" t="s">
        <v>133</v>
      </c>
      <c r="D29" s="6"/>
      <c r="E29" s="6" t="s">
        <v>134</v>
      </c>
      <c r="F29" s="6">
        <v>-58.5503</v>
      </c>
      <c r="G29" s="6">
        <v>-34.6227</v>
      </c>
      <c r="H29" s="6" t="s">
        <v>135</v>
      </c>
      <c r="I29" s="7" t="s">
        <v>19</v>
      </c>
      <c r="J29" s="8" t="s">
        <v>54</v>
      </c>
      <c r="K29" s="7" t="s">
        <v>21</v>
      </c>
      <c r="L29" s="9">
        <f t="shared" si="1"/>
        <v>270</v>
      </c>
      <c r="M29" s="9">
        <f t="shared" si="2"/>
        <v>281</v>
      </c>
      <c r="N29" s="9">
        <f t="shared" si="3"/>
        <v>281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ht="24.0" customHeight="1">
      <c r="A30" s="6" t="s">
        <v>136</v>
      </c>
      <c r="B30" s="6" t="s">
        <v>40</v>
      </c>
      <c r="C30" s="6" t="s">
        <v>137</v>
      </c>
      <c r="D30" s="6"/>
      <c r="E30" s="6" t="s">
        <v>138</v>
      </c>
      <c r="F30" s="6">
        <v>-58.5326</v>
      </c>
      <c r="G30" s="6">
        <v>-34.6264</v>
      </c>
      <c r="H30" s="6" t="s">
        <v>139</v>
      </c>
      <c r="I30" s="7" t="s">
        <v>19</v>
      </c>
      <c r="J30" s="8" t="s">
        <v>20</v>
      </c>
      <c r="K30" s="7" t="s">
        <v>21</v>
      </c>
      <c r="L30" s="9">
        <f t="shared" si="1"/>
        <v>250</v>
      </c>
      <c r="M30" s="9">
        <f t="shared" si="2"/>
        <v>243</v>
      </c>
      <c r="N30" s="9">
        <f t="shared" si="3"/>
        <v>243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ht="24.0" customHeight="1">
      <c r="A31" s="6" t="s">
        <v>140</v>
      </c>
      <c r="B31" s="6" t="s">
        <v>40</v>
      </c>
      <c r="C31" s="6" t="s">
        <v>141</v>
      </c>
      <c r="D31" s="6"/>
      <c r="E31" s="6" t="s">
        <v>142</v>
      </c>
      <c r="F31" s="6">
        <v>-58.535</v>
      </c>
      <c r="G31" s="6">
        <v>-34.6325</v>
      </c>
      <c r="H31" s="6" t="s">
        <v>143</v>
      </c>
      <c r="I31" s="7" t="s">
        <v>19</v>
      </c>
      <c r="J31" s="8" t="s">
        <v>54</v>
      </c>
      <c r="K31" s="7" t="s">
        <v>21</v>
      </c>
      <c r="L31" s="9">
        <f t="shared" si="1"/>
        <v>324</v>
      </c>
      <c r="M31" s="9">
        <f t="shared" si="2"/>
        <v>296</v>
      </c>
      <c r="N31" s="9">
        <f t="shared" si="3"/>
        <v>302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ht="24.0" customHeight="1">
      <c r="A32" s="6" t="s">
        <v>144</v>
      </c>
      <c r="B32" s="6" t="s">
        <v>40</v>
      </c>
      <c r="C32" s="6" t="s">
        <v>145</v>
      </c>
      <c r="D32" s="6"/>
      <c r="E32" s="6" t="s">
        <v>146</v>
      </c>
      <c r="F32" s="6">
        <v>-58.5931</v>
      </c>
      <c r="G32" s="6">
        <v>-34.6025</v>
      </c>
      <c r="H32" s="6" t="s">
        <v>147</v>
      </c>
      <c r="I32" s="7" t="s">
        <v>19</v>
      </c>
      <c r="J32" s="8" t="s">
        <v>20</v>
      </c>
      <c r="K32" s="7" t="s">
        <v>21</v>
      </c>
      <c r="L32" s="9">
        <f t="shared" si="1"/>
        <v>600</v>
      </c>
      <c r="M32" s="9">
        <f t="shared" si="2"/>
        <v>575</v>
      </c>
      <c r="N32" s="9">
        <f t="shared" si="3"/>
        <v>580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ht="24.0" customHeight="1">
      <c r="A33" s="6" t="s">
        <v>148</v>
      </c>
      <c r="B33" s="6" t="s">
        <v>40</v>
      </c>
      <c r="C33" s="6" t="s">
        <v>149</v>
      </c>
      <c r="D33" s="6"/>
      <c r="E33" s="6" t="s">
        <v>150</v>
      </c>
      <c r="F33" s="6">
        <v>-58.5425</v>
      </c>
      <c r="G33" s="6">
        <v>-34.6386</v>
      </c>
      <c r="H33" s="6" t="s">
        <v>151</v>
      </c>
      <c r="I33" s="7" t="s">
        <v>19</v>
      </c>
      <c r="J33" s="8" t="s">
        <v>20</v>
      </c>
      <c r="K33" s="7" t="s">
        <v>21</v>
      </c>
      <c r="L33" s="9">
        <f t="shared" si="1"/>
        <v>295</v>
      </c>
      <c r="M33" s="9">
        <f t="shared" si="2"/>
        <v>289</v>
      </c>
      <c r="N33" s="9">
        <f t="shared" si="3"/>
        <v>289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ht="24.0" customHeight="1">
      <c r="A34" s="6" t="s">
        <v>152</v>
      </c>
      <c r="B34" s="6" t="s">
        <v>40</v>
      </c>
      <c r="C34" s="6" t="s">
        <v>153</v>
      </c>
      <c r="D34" s="6"/>
      <c r="E34" s="6" t="s">
        <v>154</v>
      </c>
      <c r="F34" s="6">
        <v>-58.6005</v>
      </c>
      <c r="G34" s="6">
        <v>-34.5767</v>
      </c>
      <c r="H34" s="6" t="s">
        <v>155</v>
      </c>
      <c r="I34" s="7" t="s">
        <v>19</v>
      </c>
      <c r="J34" s="8" t="s">
        <v>20</v>
      </c>
      <c r="K34" s="7" t="s">
        <v>21</v>
      </c>
      <c r="L34" s="9">
        <f t="shared" si="1"/>
        <v>540</v>
      </c>
      <c r="M34" s="9">
        <f t="shared" si="2"/>
        <v>497</v>
      </c>
      <c r="N34" s="9">
        <f t="shared" si="3"/>
        <v>497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ht="24.0" customHeight="1">
      <c r="A35" s="6" t="s">
        <v>156</v>
      </c>
      <c r="B35" s="6" t="s">
        <v>40</v>
      </c>
      <c r="C35" s="6" t="s">
        <v>157</v>
      </c>
      <c r="D35" s="6"/>
      <c r="E35" s="6" t="s">
        <v>158</v>
      </c>
      <c r="F35" s="6">
        <v>-58.5401</v>
      </c>
      <c r="G35" s="6">
        <v>-34.6453</v>
      </c>
      <c r="H35" s="6" t="s">
        <v>159</v>
      </c>
      <c r="I35" s="7" t="s">
        <v>19</v>
      </c>
      <c r="J35" s="8" t="s">
        <v>20</v>
      </c>
      <c r="K35" s="7" t="s">
        <v>21</v>
      </c>
      <c r="L35" s="9">
        <f t="shared" si="1"/>
        <v>325</v>
      </c>
      <c r="M35" s="9">
        <f t="shared" si="2"/>
        <v>242</v>
      </c>
      <c r="N35" s="9">
        <f t="shared" si="3"/>
        <v>242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ht="24.0" customHeight="1">
      <c r="A36" s="6" t="s">
        <v>160</v>
      </c>
      <c r="B36" s="6" t="s">
        <v>40</v>
      </c>
      <c r="C36" s="6" t="s">
        <v>161</v>
      </c>
      <c r="D36" s="6"/>
      <c r="E36" s="6" t="s">
        <v>162</v>
      </c>
      <c r="F36" s="6">
        <v>-58.5329</v>
      </c>
      <c r="G36" s="6">
        <v>-34.642</v>
      </c>
      <c r="H36" s="6" t="s">
        <v>163</v>
      </c>
      <c r="I36" s="7" t="s">
        <v>19</v>
      </c>
      <c r="J36" s="8" t="s">
        <v>49</v>
      </c>
      <c r="K36" s="7" t="s">
        <v>21</v>
      </c>
      <c r="L36" s="9">
        <f t="shared" si="1"/>
        <v>137</v>
      </c>
      <c r="M36" s="9">
        <f t="shared" si="2"/>
        <v>117</v>
      </c>
      <c r="N36" s="9">
        <f t="shared" si="3"/>
        <v>117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ht="24.0" customHeight="1">
      <c r="A37" s="6" t="s">
        <v>164</v>
      </c>
      <c r="B37" s="6" t="s">
        <v>40</v>
      </c>
      <c r="C37" s="6" t="s">
        <v>165</v>
      </c>
      <c r="D37" s="6"/>
      <c r="E37" s="6" t="s">
        <v>166</v>
      </c>
      <c r="F37" s="6">
        <v>-58.5875</v>
      </c>
      <c r="G37" s="6">
        <v>-34.5733</v>
      </c>
      <c r="H37" s="6" t="s">
        <v>167</v>
      </c>
      <c r="I37" s="7" t="s">
        <v>19</v>
      </c>
      <c r="J37" s="8" t="s">
        <v>20</v>
      </c>
      <c r="K37" s="7" t="s">
        <v>21</v>
      </c>
      <c r="L37" s="9">
        <f t="shared" si="1"/>
        <v>355</v>
      </c>
      <c r="M37" s="9">
        <f t="shared" si="2"/>
        <v>374</v>
      </c>
      <c r="N37" s="9">
        <f t="shared" si="3"/>
        <v>374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ht="24.0" customHeight="1">
      <c r="A38" s="6" t="s">
        <v>168</v>
      </c>
      <c r="B38" s="6" t="s">
        <v>40</v>
      </c>
      <c r="C38" s="6" t="s">
        <v>169</v>
      </c>
      <c r="D38" s="6"/>
      <c r="E38" s="6" t="s">
        <v>170</v>
      </c>
      <c r="F38" s="6">
        <v>-58.5292</v>
      </c>
      <c r="G38" s="6">
        <v>-34.6074</v>
      </c>
      <c r="H38" s="6" t="s">
        <v>171</v>
      </c>
      <c r="I38" s="7" t="s">
        <v>19</v>
      </c>
      <c r="J38" s="8" t="s">
        <v>44</v>
      </c>
      <c r="K38" s="7" t="s">
        <v>21</v>
      </c>
      <c r="L38" s="9">
        <f t="shared" si="1"/>
        <v>87</v>
      </c>
      <c r="M38" s="9">
        <f t="shared" si="2"/>
        <v>88</v>
      </c>
      <c r="N38" s="9">
        <f t="shared" si="3"/>
        <v>88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ht="24.0" customHeight="1">
      <c r="A39" s="6" t="s">
        <v>172</v>
      </c>
      <c r="B39" s="6" t="s">
        <v>40</v>
      </c>
      <c r="C39" s="6" t="s">
        <v>173</v>
      </c>
      <c r="D39" s="6"/>
      <c r="E39" s="6" t="s">
        <v>174</v>
      </c>
      <c r="F39" s="6">
        <v>-58.5311</v>
      </c>
      <c r="G39" s="6">
        <v>-34.5995</v>
      </c>
      <c r="H39" s="6" t="s">
        <v>175</v>
      </c>
      <c r="I39" s="7" t="s">
        <v>19</v>
      </c>
      <c r="J39" s="8" t="s">
        <v>54</v>
      </c>
      <c r="K39" s="7" t="s">
        <v>21</v>
      </c>
      <c r="L39" s="9">
        <f t="shared" si="1"/>
        <v>240</v>
      </c>
      <c r="M39" s="9">
        <f t="shared" si="2"/>
        <v>242</v>
      </c>
      <c r="N39" s="9">
        <f t="shared" si="3"/>
        <v>220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ht="24.0" customHeight="1">
      <c r="A40" s="6" t="s">
        <v>176</v>
      </c>
      <c r="B40" s="6" t="s">
        <v>40</v>
      </c>
      <c r="C40" s="6" t="s">
        <v>177</v>
      </c>
      <c r="D40" s="6"/>
      <c r="E40" s="6" t="s">
        <v>178</v>
      </c>
      <c r="F40" s="6">
        <v>-58.5619</v>
      </c>
      <c r="G40" s="6">
        <v>-34.6061</v>
      </c>
      <c r="H40" s="6" t="s">
        <v>179</v>
      </c>
      <c r="I40" s="7" t="s">
        <v>19</v>
      </c>
      <c r="J40" s="8" t="s">
        <v>20</v>
      </c>
      <c r="K40" s="7" t="s">
        <v>21</v>
      </c>
      <c r="L40" s="9">
        <f t="shared" si="1"/>
        <v>570</v>
      </c>
      <c r="M40" s="9">
        <f t="shared" si="2"/>
        <v>540</v>
      </c>
      <c r="N40" s="9">
        <f t="shared" si="3"/>
        <v>540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ht="24.0" customHeight="1">
      <c r="A41" s="6" t="s">
        <v>180</v>
      </c>
      <c r="B41" s="6" t="s">
        <v>40</v>
      </c>
      <c r="C41" s="6" t="s">
        <v>181</v>
      </c>
      <c r="D41" s="6"/>
      <c r="E41" s="6" t="s">
        <v>182</v>
      </c>
      <c r="F41" s="6">
        <v>-58.5517</v>
      </c>
      <c r="G41" s="6">
        <v>-34.6008</v>
      </c>
      <c r="H41" s="6" t="s">
        <v>183</v>
      </c>
      <c r="I41" s="7" t="s">
        <v>19</v>
      </c>
      <c r="J41" s="8" t="s">
        <v>20</v>
      </c>
      <c r="K41" s="7" t="s">
        <v>21</v>
      </c>
      <c r="L41" s="9">
        <f t="shared" si="1"/>
        <v>261</v>
      </c>
      <c r="M41" s="9">
        <f t="shared" si="2"/>
        <v>200</v>
      </c>
      <c r="N41" s="9">
        <f t="shared" si="3"/>
        <v>183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ht="24.0" customHeight="1">
      <c r="A42" s="6" t="s">
        <v>184</v>
      </c>
      <c r="B42" s="6" t="s">
        <v>40</v>
      </c>
      <c r="C42" s="6" t="s">
        <v>185</v>
      </c>
      <c r="D42" s="6"/>
      <c r="E42" s="6" t="s">
        <v>186</v>
      </c>
      <c r="F42" s="6">
        <v>-58.5551</v>
      </c>
      <c r="G42" s="6">
        <v>-34.6185</v>
      </c>
      <c r="H42" s="6" t="s">
        <v>187</v>
      </c>
      <c r="I42" s="7" t="s">
        <v>19</v>
      </c>
      <c r="J42" s="8" t="s">
        <v>54</v>
      </c>
      <c r="K42" s="7" t="s">
        <v>21</v>
      </c>
      <c r="L42" s="9">
        <f t="shared" si="1"/>
        <v>230</v>
      </c>
      <c r="M42" s="9">
        <f t="shared" si="2"/>
        <v>212</v>
      </c>
      <c r="N42" s="9">
        <f t="shared" si="3"/>
        <v>212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ht="24.0" customHeight="1">
      <c r="A43" s="6" t="s">
        <v>188</v>
      </c>
      <c r="B43" s="6" t="s">
        <v>40</v>
      </c>
      <c r="C43" s="6" t="s">
        <v>189</v>
      </c>
      <c r="D43" s="6"/>
      <c r="E43" s="6" t="s">
        <v>190</v>
      </c>
      <c r="F43" s="6">
        <v>-58.5598</v>
      </c>
      <c r="G43" s="6">
        <v>-34.6175</v>
      </c>
      <c r="H43" s="6" t="s">
        <v>191</v>
      </c>
      <c r="I43" s="7" t="s">
        <v>19</v>
      </c>
      <c r="J43" s="8" t="s">
        <v>54</v>
      </c>
      <c r="K43" s="7" t="s">
        <v>21</v>
      </c>
      <c r="L43" s="9">
        <f t="shared" si="1"/>
        <v>250</v>
      </c>
      <c r="M43" s="9">
        <f t="shared" si="2"/>
        <v>196</v>
      </c>
      <c r="N43" s="9">
        <f t="shared" si="3"/>
        <v>196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ht="24.0" customHeight="1">
      <c r="A44" s="6" t="s">
        <v>192</v>
      </c>
      <c r="B44" s="6" t="s">
        <v>40</v>
      </c>
      <c r="C44" s="6" t="s">
        <v>193</v>
      </c>
      <c r="D44" s="6"/>
      <c r="E44" s="6" t="s">
        <v>194</v>
      </c>
      <c r="F44" s="6">
        <v>-58.5812</v>
      </c>
      <c r="G44" s="6">
        <v>-34.6003</v>
      </c>
      <c r="H44" s="11" t="s">
        <v>195</v>
      </c>
      <c r="I44" s="12" t="s">
        <v>19</v>
      </c>
      <c r="J44" s="8" t="s">
        <v>54</v>
      </c>
      <c r="K44" s="7" t="s">
        <v>21</v>
      </c>
      <c r="L44" s="9">
        <f t="shared" si="1"/>
        <v>380</v>
      </c>
      <c r="M44" s="9">
        <f t="shared" si="2"/>
        <v>380</v>
      </c>
      <c r="N44" s="9">
        <f t="shared" si="3"/>
        <v>380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ht="24.0" customHeight="1">
      <c r="A45" s="6" t="s">
        <v>196</v>
      </c>
      <c r="B45" s="6" t="s">
        <v>40</v>
      </c>
      <c r="C45" s="6" t="s">
        <v>197</v>
      </c>
      <c r="D45" s="6"/>
      <c r="E45" s="6" t="s">
        <v>198</v>
      </c>
      <c r="F45" s="6">
        <v>-58.538</v>
      </c>
      <c r="G45" s="6">
        <v>-34.6224</v>
      </c>
      <c r="H45" s="9" t="s">
        <v>199</v>
      </c>
      <c r="I45" s="13" t="s">
        <v>19</v>
      </c>
      <c r="J45" s="13" t="s">
        <v>54</v>
      </c>
      <c r="K45" s="7" t="s">
        <v>21</v>
      </c>
      <c r="L45" s="9">
        <f t="shared" si="1"/>
        <v>300</v>
      </c>
      <c r="M45" s="9">
        <f t="shared" si="2"/>
        <v>290</v>
      </c>
      <c r="N45" s="9">
        <f t="shared" si="3"/>
        <v>300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ht="24.0" customHeight="1">
      <c r="A46" s="6" t="s">
        <v>200</v>
      </c>
      <c r="B46" s="6" t="s">
        <v>40</v>
      </c>
      <c r="C46" s="6" t="s">
        <v>201</v>
      </c>
      <c r="D46" s="6"/>
      <c r="E46" s="6" t="s">
        <v>198</v>
      </c>
      <c r="F46" s="6">
        <v>-58.5387</v>
      </c>
      <c r="G46" s="6">
        <v>-34.6224</v>
      </c>
      <c r="H46" s="9" t="s">
        <v>202</v>
      </c>
      <c r="I46" s="13" t="s">
        <v>19</v>
      </c>
      <c r="J46" s="13" t="s">
        <v>49</v>
      </c>
      <c r="K46" s="7" t="s">
        <v>21</v>
      </c>
      <c r="L46" s="9">
        <f t="shared" si="1"/>
        <v>111</v>
      </c>
      <c r="M46" s="9">
        <f t="shared" si="2"/>
        <v>120</v>
      </c>
      <c r="N46" s="9">
        <f t="shared" si="3"/>
        <v>110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ht="24.0" customHeight="1">
      <c r="A47" s="6" t="s">
        <v>203</v>
      </c>
      <c r="B47" s="6" t="s">
        <v>40</v>
      </c>
      <c r="C47" s="6" t="s">
        <v>204</v>
      </c>
      <c r="D47" s="6"/>
      <c r="E47" s="6" t="s">
        <v>205</v>
      </c>
      <c r="F47" s="6">
        <v>-58.599</v>
      </c>
      <c r="G47" s="6">
        <v>-34.5813</v>
      </c>
      <c r="H47" s="9" t="s">
        <v>206</v>
      </c>
      <c r="I47" s="13" t="s">
        <v>19</v>
      </c>
      <c r="J47" s="13" t="s">
        <v>20</v>
      </c>
      <c r="K47" s="7" t="s">
        <v>21</v>
      </c>
      <c r="L47" s="9">
        <f t="shared" si="1"/>
        <v>397</v>
      </c>
      <c r="M47" s="9">
        <f t="shared" si="2"/>
        <v>395</v>
      </c>
      <c r="N47" s="9">
        <f t="shared" si="3"/>
        <v>395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ht="24.0" customHeight="1">
      <c r="A48" s="6" t="s">
        <v>207</v>
      </c>
      <c r="B48" s="6" t="s">
        <v>40</v>
      </c>
      <c r="C48" s="6" t="s">
        <v>208</v>
      </c>
      <c r="D48" s="6"/>
      <c r="E48" s="6" t="s">
        <v>209</v>
      </c>
      <c r="F48" s="6">
        <v>-58.6114</v>
      </c>
      <c r="G48" s="6">
        <v>-34.5832</v>
      </c>
      <c r="H48" s="9" t="s">
        <v>210</v>
      </c>
      <c r="I48" s="13" t="s">
        <v>19</v>
      </c>
      <c r="J48" s="13" t="s">
        <v>20</v>
      </c>
      <c r="K48" s="7" t="s">
        <v>21</v>
      </c>
      <c r="L48" s="9">
        <f t="shared" si="1"/>
        <v>532</v>
      </c>
      <c r="M48" s="9">
        <f t="shared" si="2"/>
        <v>513</v>
      </c>
      <c r="N48" s="9">
        <f t="shared" si="3"/>
        <v>510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ht="24.0" customHeight="1">
      <c r="A49" s="6" t="s">
        <v>211</v>
      </c>
      <c r="B49" s="6" t="s">
        <v>15</v>
      </c>
      <c r="C49" s="6" t="s">
        <v>212</v>
      </c>
      <c r="D49" s="6"/>
      <c r="E49" s="6" t="s">
        <v>213</v>
      </c>
      <c r="F49" s="6">
        <v>-58.5365</v>
      </c>
      <c r="G49" s="6">
        <v>-34.6028</v>
      </c>
      <c r="H49" s="9" t="s">
        <v>214</v>
      </c>
      <c r="I49" s="13" t="s">
        <v>19</v>
      </c>
      <c r="J49" s="13" t="s">
        <v>26</v>
      </c>
      <c r="K49" s="7" t="s">
        <v>21</v>
      </c>
      <c r="L49" s="9">
        <f t="shared" si="1"/>
        <v>55</v>
      </c>
      <c r="M49" s="9">
        <f t="shared" si="2"/>
        <v>70</v>
      </c>
      <c r="N49" s="9">
        <f t="shared" si="3"/>
        <v>70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ht="24.0" customHeight="1">
      <c r="A50" s="6" t="s">
        <v>215</v>
      </c>
      <c r="B50" s="6" t="s">
        <v>216</v>
      </c>
      <c r="C50" s="6" t="s">
        <v>217</v>
      </c>
      <c r="D50" s="6"/>
      <c r="E50" s="6" t="s">
        <v>218</v>
      </c>
      <c r="F50" s="6">
        <v>-58.5917</v>
      </c>
      <c r="G50" s="6">
        <v>-34.6017</v>
      </c>
      <c r="H50" s="9" t="s">
        <v>219</v>
      </c>
      <c r="I50" s="13" t="s">
        <v>19</v>
      </c>
      <c r="J50" s="13" t="s">
        <v>20</v>
      </c>
      <c r="K50" s="7" t="s">
        <v>21</v>
      </c>
      <c r="L50" s="9">
        <f t="shared" si="1"/>
        <v>190</v>
      </c>
      <c r="M50" s="9">
        <f t="shared" si="2"/>
        <v>150</v>
      </c>
      <c r="N50" s="9">
        <f t="shared" si="3"/>
        <v>150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ht="24.0" customHeight="1">
      <c r="A51" s="6" t="s">
        <v>220</v>
      </c>
      <c r="B51" s="6" t="s">
        <v>216</v>
      </c>
      <c r="C51" s="6" t="s">
        <v>221</v>
      </c>
      <c r="D51" s="6"/>
      <c r="E51" s="6" t="s">
        <v>222</v>
      </c>
      <c r="F51" s="6">
        <v>-58.5456</v>
      </c>
      <c r="G51" s="6">
        <v>-34.6035</v>
      </c>
      <c r="H51" s="9" t="s">
        <v>223</v>
      </c>
      <c r="I51" s="13" t="s">
        <v>19</v>
      </c>
      <c r="J51" s="13" t="s">
        <v>20</v>
      </c>
      <c r="K51" s="7" t="s">
        <v>21</v>
      </c>
      <c r="L51" s="9">
        <f t="shared" si="1"/>
        <v>89</v>
      </c>
      <c r="M51" s="9">
        <f t="shared" si="2"/>
        <v>81</v>
      </c>
      <c r="N51" s="9">
        <f t="shared" si="3"/>
        <v>81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ht="24.0" customHeight="1">
      <c r="A52" s="6" t="s">
        <v>224</v>
      </c>
      <c r="B52" s="6" t="s">
        <v>216</v>
      </c>
      <c r="C52" s="6" t="s">
        <v>225</v>
      </c>
      <c r="D52" s="6"/>
      <c r="E52" s="6" t="s">
        <v>226</v>
      </c>
      <c r="F52" s="6">
        <v>-58.5366</v>
      </c>
      <c r="G52" s="6">
        <v>-34.6023</v>
      </c>
      <c r="H52" s="9" t="s">
        <v>227</v>
      </c>
      <c r="I52" s="13" t="s">
        <v>19</v>
      </c>
      <c r="J52" s="13" t="s">
        <v>20</v>
      </c>
      <c r="K52" s="7" t="s">
        <v>21</v>
      </c>
      <c r="L52" s="9">
        <f t="shared" si="1"/>
        <v>83</v>
      </c>
      <c r="M52" s="9">
        <f t="shared" si="2"/>
        <v>69</v>
      </c>
      <c r="N52" s="9">
        <f t="shared" si="3"/>
        <v>71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ht="24.0" customHeight="1">
      <c r="A53" s="6" t="s">
        <v>228</v>
      </c>
      <c r="B53" s="6" t="s">
        <v>216</v>
      </c>
      <c r="C53" s="6" t="s">
        <v>229</v>
      </c>
      <c r="D53" s="6"/>
      <c r="E53" s="6" t="s">
        <v>230</v>
      </c>
      <c r="F53" s="6">
        <v>-58.598</v>
      </c>
      <c r="G53" s="6">
        <v>-34.5829</v>
      </c>
      <c r="H53" s="9" t="s">
        <v>231</v>
      </c>
      <c r="I53" s="13" t="s">
        <v>19</v>
      </c>
      <c r="J53" s="13" t="s">
        <v>20</v>
      </c>
      <c r="K53" s="7" t="s">
        <v>21</v>
      </c>
      <c r="L53" s="9">
        <f t="shared" si="1"/>
        <v>130</v>
      </c>
      <c r="M53" s="9">
        <f t="shared" si="2"/>
        <v>89</v>
      </c>
      <c r="N53" s="9">
        <f t="shared" si="3"/>
        <v>75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ht="24.0" customHeight="1">
      <c r="A54" s="6" t="s">
        <v>232</v>
      </c>
      <c r="B54" s="6" t="s">
        <v>216</v>
      </c>
      <c r="C54" s="6" t="s">
        <v>233</v>
      </c>
      <c r="D54" s="6"/>
      <c r="E54" s="6" t="s">
        <v>234</v>
      </c>
      <c r="F54" s="6">
        <v>-58.5601</v>
      </c>
      <c r="G54" s="6">
        <v>-34.6173</v>
      </c>
      <c r="H54" s="9" t="s">
        <v>235</v>
      </c>
      <c r="I54" s="13" t="s">
        <v>19</v>
      </c>
      <c r="J54" s="13" t="s">
        <v>20</v>
      </c>
      <c r="K54" s="7" t="s">
        <v>21</v>
      </c>
      <c r="L54" s="9">
        <f t="shared" si="1"/>
        <v>140</v>
      </c>
      <c r="M54" s="9">
        <f t="shared" si="2"/>
        <v>140</v>
      </c>
      <c r="N54" s="9">
        <f t="shared" si="3"/>
        <v>120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ht="24.0" customHeight="1">
      <c r="A55" s="6" t="s">
        <v>236</v>
      </c>
      <c r="B55" s="6" t="s">
        <v>216</v>
      </c>
      <c r="C55" s="6" t="s">
        <v>237</v>
      </c>
      <c r="D55" s="6"/>
      <c r="E55" s="6" t="s">
        <v>238</v>
      </c>
      <c r="F55" s="6">
        <v>-58.535</v>
      </c>
      <c r="G55" s="6">
        <v>-34.618</v>
      </c>
      <c r="H55" s="9" t="s">
        <v>239</v>
      </c>
      <c r="I55" s="13" t="s">
        <v>19</v>
      </c>
      <c r="J55" s="13" t="s">
        <v>20</v>
      </c>
      <c r="K55" s="7" t="s">
        <v>21</v>
      </c>
      <c r="L55" s="9">
        <f t="shared" si="1"/>
        <v>100</v>
      </c>
      <c r="M55" s="9">
        <f t="shared" si="2"/>
        <v>110</v>
      </c>
      <c r="N55" s="9">
        <f t="shared" si="3"/>
        <v>110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ht="24.0" customHeight="1">
      <c r="A56" s="6" t="s">
        <v>240</v>
      </c>
      <c r="B56" s="6" t="s">
        <v>216</v>
      </c>
      <c r="C56" s="6" t="s">
        <v>241</v>
      </c>
      <c r="D56" s="6"/>
      <c r="E56" s="6" t="s">
        <v>242</v>
      </c>
      <c r="F56" s="6">
        <v>-58.5912</v>
      </c>
      <c r="G56" s="6">
        <v>-34.576</v>
      </c>
      <c r="H56" s="9" t="s">
        <v>243</v>
      </c>
      <c r="I56" s="13" t="s">
        <v>19</v>
      </c>
      <c r="J56" s="13" t="s">
        <v>20</v>
      </c>
      <c r="K56" s="7" t="s">
        <v>21</v>
      </c>
      <c r="L56" s="9">
        <f t="shared" si="1"/>
        <v>183</v>
      </c>
      <c r="M56" s="9">
        <f t="shared" si="2"/>
        <v>155</v>
      </c>
      <c r="N56" s="9">
        <f t="shared" si="3"/>
        <v>130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ht="24.0" customHeight="1">
      <c r="A57" s="6" t="s">
        <v>244</v>
      </c>
      <c r="B57" s="6" t="s">
        <v>216</v>
      </c>
      <c r="C57" s="6" t="s">
        <v>245</v>
      </c>
      <c r="D57" s="6"/>
      <c r="E57" s="6" t="s">
        <v>246</v>
      </c>
      <c r="F57" s="6">
        <v>-58.5276</v>
      </c>
      <c r="G57" s="6">
        <v>-34.6049</v>
      </c>
      <c r="H57" s="9" t="s">
        <v>247</v>
      </c>
      <c r="I57" s="13" t="s">
        <v>19</v>
      </c>
      <c r="J57" s="13" t="s">
        <v>20</v>
      </c>
      <c r="K57" s="7" t="s">
        <v>21</v>
      </c>
      <c r="L57" s="9">
        <f t="shared" si="1"/>
        <v>44</v>
      </c>
      <c r="M57" s="9">
        <f t="shared" si="2"/>
        <v>41</v>
      </c>
      <c r="N57" s="9">
        <f t="shared" si="3"/>
        <v>41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ht="24.0" customHeight="1">
      <c r="A58" s="6" t="s">
        <v>248</v>
      </c>
      <c r="B58" s="6" t="s">
        <v>216</v>
      </c>
      <c r="C58" s="6" t="s">
        <v>249</v>
      </c>
      <c r="D58" s="6"/>
      <c r="E58" s="6" t="s">
        <v>250</v>
      </c>
      <c r="F58" s="6">
        <v>-58.5327</v>
      </c>
      <c r="G58" s="6">
        <v>-34.6263</v>
      </c>
      <c r="H58" s="9" t="s">
        <v>251</v>
      </c>
      <c r="I58" s="13" t="s">
        <v>19</v>
      </c>
      <c r="J58" s="13" t="s">
        <v>20</v>
      </c>
      <c r="K58" s="7" t="s">
        <v>21</v>
      </c>
      <c r="L58" s="9">
        <f t="shared" si="1"/>
        <v>120</v>
      </c>
      <c r="M58" s="9">
        <f t="shared" si="2"/>
        <v>110</v>
      </c>
      <c r="N58" s="9">
        <f t="shared" si="3"/>
        <v>98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ht="24.0" customHeight="1">
      <c r="A59" s="6" t="s">
        <v>252</v>
      </c>
      <c r="B59" s="6" t="s">
        <v>216</v>
      </c>
      <c r="C59" s="6" t="s">
        <v>253</v>
      </c>
      <c r="D59" s="6"/>
      <c r="E59" s="6" t="s">
        <v>254</v>
      </c>
      <c r="F59" s="6">
        <v>-58.5866</v>
      </c>
      <c r="G59" s="6">
        <v>-34.5993</v>
      </c>
      <c r="H59" s="9" t="s">
        <v>255</v>
      </c>
      <c r="I59" s="13" t="s">
        <v>19</v>
      </c>
      <c r="J59" s="13" t="s">
        <v>20</v>
      </c>
      <c r="K59" s="7" t="s">
        <v>21</v>
      </c>
      <c r="L59" s="9">
        <f t="shared" si="1"/>
        <v>215</v>
      </c>
      <c r="M59" s="9">
        <f t="shared" si="2"/>
        <v>200</v>
      </c>
      <c r="N59" s="9">
        <f t="shared" si="3"/>
        <v>200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ht="24.0" customHeight="1">
      <c r="A60" s="6" t="s">
        <v>256</v>
      </c>
      <c r="B60" s="6" t="s">
        <v>216</v>
      </c>
      <c r="C60" s="6" t="s">
        <v>257</v>
      </c>
      <c r="D60" s="6"/>
      <c r="E60" s="6" t="s">
        <v>61</v>
      </c>
      <c r="F60" s="6">
        <v>-58.5679</v>
      </c>
      <c r="G60" s="6">
        <v>-34.596</v>
      </c>
      <c r="H60" s="9" t="s">
        <v>258</v>
      </c>
      <c r="I60" s="13" t="s">
        <v>19</v>
      </c>
      <c r="J60" s="13" t="s">
        <v>20</v>
      </c>
      <c r="K60" s="7" t="s">
        <v>21</v>
      </c>
      <c r="L60" s="9">
        <f t="shared" si="1"/>
        <v>70</v>
      </c>
      <c r="M60" s="9">
        <f t="shared" si="2"/>
        <v>55</v>
      </c>
      <c r="N60" s="9">
        <f t="shared" si="3"/>
        <v>39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ht="24.0" customHeight="1">
      <c r="A61" s="6" t="s">
        <v>259</v>
      </c>
      <c r="B61" s="6" t="s">
        <v>216</v>
      </c>
      <c r="C61" s="6" t="s">
        <v>260</v>
      </c>
      <c r="D61" s="6"/>
      <c r="E61" s="6" t="s">
        <v>261</v>
      </c>
      <c r="F61" s="6">
        <v>-58.5409</v>
      </c>
      <c r="G61" s="6">
        <v>-34.6437</v>
      </c>
      <c r="H61" s="9" t="s">
        <v>262</v>
      </c>
      <c r="I61" s="13" t="s">
        <v>19</v>
      </c>
      <c r="J61" s="13" t="s">
        <v>20</v>
      </c>
      <c r="K61" s="7" t="s">
        <v>21</v>
      </c>
      <c r="L61" s="9">
        <f t="shared" si="1"/>
        <v>100</v>
      </c>
      <c r="M61" s="9">
        <f t="shared" si="2"/>
        <v>93</v>
      </c>
      <c r="N61" s="9">
        <f t="shared" si="3"/>
        <v>93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ht="24.0" customHeight="1">
      <c r="A62" s="6" t="s">
        <v>263</v>
      </c>
      <c r="B62" s="6" t="s">
        <v>216</v>
      </c>
      <c r="C62" s="6" t="s">
        <v>264</v>
      </c>
      <c r="D62" s="6"/>
      <c r="E62" s="6" t="s">
        <v>265</v>
      </c>
      <c r="F62" s="6">
        <v>-58.5383</v>
      </c>
      <c r="G62" s="6">
        <v>-34.6225</v>
      </c>
      <c r="H62" s="9" t="s">
        <v>266</v>
      </c>
      <c r="I62" s="13" t="s">
        <v>19</v>
      </c>
      <c r="J62" s="13" t="s">
        <v>20</v>
      </c>
      <c r="K62" s="7" t="s">
        <v>21</v>
      </c>
      <c r="L62" s="9">
        <f t="shared" si="1"/>
        <v>190</v>
      </c>
      <c r="M62" s="9">
        <f t="shared" si="2"/>
        <v>178</v>
      </c>
      <c r="N62" s="9">
        <f t="shared" si="3"/>
        <v>135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ht="24.0" customHeight="1">
      <c r="A63" s="6" t="s">
        <v>267</v>
      </c>
      <c r="B63" s="6" t="s">
        <v>216</v>
      </c>
      <c r="C63" s="6" t="s">
        <v>268</v>
      </c>
      <c r="D63" s="6"/>
      <c r="E63" s="6" t="s">
        <v>269</v>
      </c>
      <c r="F63" s="6">
        <v>-58.5532</v>
      </c>
      <c r="G63" s="6">
        <v>-34.6023</v>
      </c>
      <c r="H63" s="9" t="s">
        <v>270</v>
      </c>
      <c r="I63" s="13" t="s">
        <v>19</v>
      </c>
      <c r="J63" s="13" t="s">
        <v>20</v>
      </c>
      <c r="K63" s="7" t="s">
        <v>21</v>
      </c>
      <c r="L63" s="9">
        <f t="shared" si="1"/>
        <v>86</v>
      </c>
      <c r="M63" s="9">
        <f t="shared" si="2"/>
        <v>87</v>
      </c>
      <c r="N63" s="9">
        <f t="shared" si="3"/>
        <v>70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ht="24.0" customHeight="1">
      <c r="A64" s="6" t="s">
        <v>271</v>
      </c>
      <c r="B64" s="6" t="s">
        <v>216</v>
      </c>
      <c r="C64" s="6" t="s">
        <v>272</v>
      </c>
      <c r="D64" s="6"/>
      <c r="E64" s="6" t="s">
        <v>273</v>
      </c>
      <c r="F64" s="6">
        <v>-58.5901</v>
      </c>
      <c r="G64" s="6">
        <v>-34.5836</v>
      </c>
      <c r="H64" s="9" t="s">
        <v>274</v>
      </c>
      <c r="I64" s="13" t="s">
        <v>19</v>
      </c>
      <c r="J64" s="13" t="s">
        <v>20</v>
      </c>
      <c r="K64" s="7" t="s">
        <v>21</v>
      </c>
      <c r="L64" s="9">
        <f t="shared" si="1"/>
        <v>100</v>
      </c>
      <c r="M64" s="9">
        <f t="shared" si="2"/>
        <v>80</v>
      </c>
      <c r="N64" s="9">
        <f t="shared" si="3"/>
        <v>75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ht="24.0" customHeight="1">
      <c r="A65" s="6" t="s">
        <v>275</v>
      </c>
      <c r="B65" s="6" t="s">
        <v>216</v>
      </c>
      <c r="C65" s="6" t="s">
        <v>276</v>
      </c>
      <c r="D65" s="6"/>
      <c r="E65" s="6" t="s">
        <v>277</v>
      </c>
      <c r="F65" s="6">
        <v>-58.5553</v>
      </c>
      <c r="G65" s="6">
        <v>-34.6181</v>
      </c>
      <c r="H65" s="9" t="s">
        <v>278</v>
      </c>
      <c r="I65" s="13" t="s">
        <v>19</v>
      </c>
      <c r="J65" s="13" t="s">
        <v>20</v>
      </c>
      <c r="K65" s="7" t="s">
        <v>21</v>
      </c>
      <c r="L65" s="9">
        <f t="shared" si="1"/>
        <v>80</v>
      </c>
      <c r="M65" s="9">
        <f t="shared" si="2"/>
        <v>80</v>
      </c>
      <c r="N65" s="9">
        <f t="shared" si="3"/>
        <v>80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ht="24.0" customHeight="1">
      <c r="A66" s="6" t="s">
        <v>220</v>
      </c>
      <c r="B66" s="6" t="s">
        <v>216</v>
      </c>
      <c r="C66" s="6" t="s">
        <v>279</v>
      </c>
      <c r="D66" s="6"/>
      <c r="E66" s="6" t="s">
        <v>280</v>
      </c>
      <c r="F66" s="6">
        <v>-58.5522</v>
      </c>
      <c r="G66" s="6">
        <v>-34.5946</v>
      </c>
      <c r="H66" s="9" t="s">
        <v>281</v>
      </c>
      <c r="I66" s="13" t="s">
        <v>19</v>
      </c>
      <c r="J66" s="13" t="s">
        <v>20</v>
      </c>
      <c r="K66" s="7" t="s">
        <v>21</v>
      </c>
      <c r="L66" s="9">
        <f t="shared" si="1"/>
        <v>83</v>
      </c>
      <c r="M66" s="9">
        <f t="shared" si="2"/>
        <v>61</v>
      </c>
      <c r="N66" s="9">
        <f t="shared" si="3"/>
        <v>60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ht="24.0" customHeight="1">
      <c r="A67" s="6" t="s">
        <v>282</v>
      </c>
      <c r="B67" s="6" t="s">
        <v>216</v>
      </c>
      <c r="C67" s="6" t="s">
        <v>283</v>
      </c>
      <c r="D67" s="6"/>
      <c r="E67" s="6" t="s">
        <v>284</v>
      </c>
      <c r="F67" s="6">
        <v>-58.5271</v>
      </c>
      <c r="G67" s="6">
        <v>-34.6009</v>
      </c>
      <c r="H67" s="9" t="s">
        <v>285</v>
      </c>
      <c r="I67" s="13" t="s">
        <v>19</v>
      </c>
      <c r="J67" s="13" t="s">
        <v>20</v>
      </c>
      <c r="K67" s="7" t="s">
        <v>21</v>
      </c>
      <c r="L67" s="9">
        <f t="shared" si="1"/>
        <v>44</v>
      </c>
      <c r="M67" s="9">
        <f t="shared" si="2"/>
        <v>47</v>
      </c>
      <c r="N67" s="9">
        <f t="shared" si="3"/>
        <v>41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ht="24.0" customHeight="1">
      <c r="A68" s="6" t="s">
        <v>286</v>
      </c>
      <c r="B68" s="6" t="s">
        <v>216</v>
      </c>
      <c r="C68" s="6" t="s">
        <v>287</v>
      </c>
      <c r="D68" s="6"/>
      <c r="E68" s="6" t="s">
        <v>288</v>
      </c>
      <c r="F68" s="6">
        <v>-58.581</v>
      </c>
      <c r="G68" s="6">
        <v>-34.6073</v>
      </c>
      <c r="H68" s="9" t="s">
        <v>289</v>
      </c>
      <c r="I68" s="13" t="s">
        <v>19</v>
      </c>
      <c r="J68" s="13" t="s">
        <v>20</v>
      </c>
      <c r="K68" s="7" t="s">
        <v>21</v>
      </c>
      <c r="L68" s="9">
        <f t="shared" si="1"/>
        <v>63</v>
      </c>
      <c r="M68" s="9">
        <f t="shared" si="2"/>
        <v>54</v>
      </c>
      <c r="N68" s="9">
        <f t="shared" si="3"/>
        <v>54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ht="24.0" customHeight="1">
      <c r="A69" s="6" t="s">
        <v>290</v>
      </c>
      <c r="B69" s="6" t="s">
        <v>216</v>
      </c>
      <c r="C69" s="6" t="s">
        <v>291</v>
      </c>
      <c r="D69" s="6"/>
      <c r="E69" s="6" t="s">
        <v>205</v>
      </c>
      <c r="F69" s="6">
        <v>-58.5993</v>
      </c>
      <c r="G69" s="6">
        <v>-34.5811</v>
      </c>
      <c r="H69" s="9" t="s">
        <v>292</v>
      </c>
      <c r="I69" s="13" t="s">
        <v>19</v>
      </c>
      <c r="J69" s="13" t="s">
        <v>20</v>
      </c>
      <c r="K69" s="7" t="s">
        <v>21</v>
      </c>
      <c r="L69" s="9">
        <f t="shared" si="1"/>
        <v>213</v>
      </c>
      <c r="M69" s="9">
        <f t="shared" si="2"/>
        <v>160</v>
      </c>
      <c r="N69" s="9">
        <f t="shared" si="3"/>
        <v>160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ht="24.0" customHeight="1">
      <c r="A70" s="6" t="s">
        <v>293</v>
      </c>
      <c r="B70" s="6" t="s">
        <v>216</v>
      </c>
      <c r="C70" s="6" t="s">
        <v>294</v>
      </c>
      <c r="D70" s="6"/>
      <c r="E70" s="6" t="s">
        <v>295</v>
      </c>
      <c r="F70" s="6">
        <v>-58.5662</v>
      </c>
      <c r="G70" s="6">
        <v>-34.6012</v>
      </c>
      <c r="H70" s="9" t="s">
        <v>296</v>
      </c>
      <c r="I70" s="13" t="s">
        <v>19</v>
      </c>
      <c r="J70" s="13" t="s">
        <v>20</v>
      </c>
      <c r="K70" s="7" t="s">
        <v>21</v>
      </c>
      <c r="L70" s="9">
        <f t="shared" si="1"/>
        <v>108</v>
      </c>
      <c r="M70" s="9">
        <f t="shared" si="2"/>
        <v>104</v>
      </c>
      <c r="N70" s="9">
        <f t="shared" si="3"/>
        <v>104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ht="24.0" customHeight="1">
      <c r="A71" s="6" t="s">
        <v>297</v>
      </c>
      <c r="B71" s="6" t="s">
        <v>216</v>
      </c>
      <c r="C71" s="6" t="s">
        <v>298</v>
      </c>
      <c r="D71" s="6"/>
      <c r="E71" s="6" t="s">
        <v>299</v>
      </c>
      <c r="F71" s="6">
        <v>-58.5736</v>
      </c>
      <c r="G71" s="6">
        <v>-34.5856</v>
      </c>
      <c r="H71" s="9" t="s">
        <v>300</v>
      </c>
      <c r="I71" s="13" t="s">
        <v>19</v>
      </c>
      <c r="J71" s="13" t="s">
        <v>20</v>
      </c>
      <c r="K71" s="7" t="s">
        <v>21</v>
      </c>
      <c r="L71" s="9">
        <f t="shared" si="1"/>
        <v>150</v>
      </c>
      <c r="M71" s="9">
        <f t="shared" si="2"/>
        <v>132</v>
      </c>
      <c r="N71" s="9">
        <f t="shared" si="3"/>
        <v>89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ht="24.0" customHeight="1">
      <c r="A72" s="6" t="s">
        <v>301</v>
      </c>
      <c r="B72" s="6" t="s">
        <v>216</v>
      </c>
      <c r="C72" s="6" t="s">
        <v>302</v>
      </c>
      <c r="D72" s="6"/>
      <c r="E72" s="6" t="s">
        <v>303</v>
      </c>
      <c r="F72" s="6">
        <v>-58.577</v>
      </c>
      <c r="G72" s="6">
        <v>-34.6131</v>
      </c>
      <c r="H72" s="9" t="s">
        <v>304</v>
      </c>
      <c r="I72" s="13" t="s">
        <v>19</v>
      </c>
      <c r="J72" s="13" t="s">
        <v>20</v>
      </c>
      <c r="K72" s="7" t="s">
        <v>21</v>
      </c>
      <c r="L72" s="9">
        <f t="shared" si="1"/>
        <v>109</v>
      </c>
      <c r="M72" s="9">
        <f t="shared" si="2"/>
        <v>98</v>
      </c>
      <c r="N72" s="9">
        <f t="shared" si="3"/>
        <v>93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ht="24.0" customHeight="1">
      <c r="A73" s="6" t="s">
        <v>305</v>
      </c>
      <c r="B73" s="6" t="s">
        <v>216</v>
      </c>
      <c r="C73" s="6" t="s">
        <v>306</v>
      </c>
      <c r="D73" s="6"/>
      <c r="E73" s="6" t="s">
        <v>98</v>
      </c>
      <c r="F73" s="6">
        <v>-58.5438</v>
      </c>
      <c r="G73" s="6">
        <v>-34.6143</v>
      </c>
      <c r="H73" s="9" t="s">
        <v>307</v>
      </c>
      <c r="I73" s="13" t="s">
        <v>19</v>
      </c>
      <c r="J73" s="13" t="s">
        <v>20</v>
      </c>
      <c r="K73" s="7" t="s">
        <v>21</v>
      </c>
      <c r="L73" s="9">
        <f t="shared" si="1"/>
        <v>40</v>
      </c>
      <c r="M73" s="9">
        <f t="shared" si="2"/>
        <v>50</v>
      </c>
      <c r="N73" s="9">
        <f t="shared" si="3"/>
        <v>50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ht="24.0" customHeight="1">
      <c r="A74" s="6" t="s">
        <v>308</v>
      </c>
      <c r="B74" s="6" t="s">
        <v>216</v>
      </c>
      <c r="C74" s="6" t="s">
        <v>309</v>
      </c>
      <c r="D74" s="6"/>
      <c r="E74" s="6" t="s">
        <v>310</v>
      </c>
      <c r="F74" s="6">
        <v>-58.5352</v>
      </c>
      <c r="G74" s="6">
        <v>-34.6321</v>
      </c>
      <c r="H74" s="9" t="s">
        <v>311</v>
      </c>
      <c r="I74" s="13" t="s">
        <v>19</v>
      </c>
      <c r="J74" s="13" t="s">
        <v>20</v>
      </c>
      <c r="K74" s="7" t="s">
        <v>21</v>
      </c>
      <c r="L74" s="9">
        <f t="shared" si="1"/>
        <v>70</v>
      </c>
      <c r="M74" s="9">
        <f t="shared" si="2"/>
        <v>60</v>
      </c>
      <c r="N74" s="9">
        <f t="shared" si="3"/>
        <v>60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ht="24.0" customHeight="1">
      <c r="A75" s="6" t="s">
        <v>312</v>
      </c>
      <c r="B75" s="6" t="s">
        <v>216</v>
      </c>
      <c r="C75" s="6" t="s">
        <v>313</v>
      </c>
      <c r="D75" s="6"/>
      <c r="E75" s="6" t="s">
        <v>314</v>
      </c>
      <c r="F75" s="6">
        <v>-58.6109</v>
      </c>
      <c r="G75" s="6">
        <v>-34.5834</v>
      </c>
      <c r="H75" s="9" t="s">
        <v>315</v>
      </c>
      <c r="I75" s="13" t="s">
        <v>19</v>
      </c>
      <c r="J75" s="13" t="s">
        <v>20</v>
      </c>
      <c r="K75" s="7" t="s">
        <v>21</v>
      </c>
      <c r="L75" s="9">
        <f t="shared" si="1"/>
        <v>214</v>
      </c>
      <c r="M75" s="9">
        <f t="shared" si="2"/>
        <v>191</v>
      </c>
      <c r="N75" s="9">
        <f t="shared" si="3"/>
        <v>170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ht="24.0" customHeight="1">
      <c r="A76" s="6" t="s">
        <v>316</v>
      </c>
      <c r="B76" s="6" t="s">
        <v>216</v>
      </c>
      <c r="C76" s="6" t="s">
        <v>317</v>
      </c>
      <c r="D76" s="6"/>
      <c r="E76" s="6" t="s">
        <v>318</v>
      </c>
      <c r="F76" s="6">
        <v>-58.5508</v>
      </c>
      <c r="G76" s="6">
        <v>-34.6224</v>
      </c>
      <c r="H76" s="9" t="s">
        <v>319</v>
      </c>
      <c r="I76" s="13" t="s">
        <v>19</v>
      </c>
      <c r="J76" s="13" t="s">
        <v>20</v>
      </c>
      <c r="K76" s="7" t="s">
        <v>21</v>
      </c>
      <c r="L76" s="9">
        <f t="shared" si="1"/>
        <v>100</v>
      </c>
      <c r="M76" s="9">
        <f t="shared" si="2"/>
        <v>100</v>
      </c>
      <c r="N76" s="9">
        <f t="shared" si="3"/>
        <v>100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ht="24.0" customHeight="1">
      <c r="A77" s="6" t="s">
        <v>320</v>
      </c>
      <c r="B77" s="6" t="s">
        <v>15</v>
      </c>
      <c r="C77" s="6" t="s">
        <v>321</v>
      </c>
      <c r="D77" s="6"/>
      <c r="E77" s="6" t="s">
        <v>322</v>
      </c>
      <c r="F77" s="6">
        <v>-58.5523</v>
      </c>
      <c r="G77" s="6">
        <v>-34.6021</v>
      </c>
      <c r="H77" s="9" t="s">
        <v>323</v>
      </c>
      <c r="I77" s="13" t="s">
        <v>19</v>
      </c>
      <c r="J77" s="13" t="s">
        <v>26</v>
      </c>
      <c r="K77" s="7" t="s">
        <v>21</v>
      </c>
      <c r="L77" s="9">
        <f t="shared" si="1"/>
        <v>130</v>
      </c>
      <c r="M77" s="9">
        <f t="shared" si="2"/>
        <v>163</v>
      </c>
      <c r="N77" s="9">
        <f t="shared" si="3"/>
        <v>326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ht="24.0" customHeight="1">
      <c r="A78" s="6" t="s">
        <v>324</v>
      </c>
      <c r="B78" s="6" t="s">
        <v>15</v>
      </c>
      <c r="C78" s="6" t="s">
        <v>325</v>
      </c>
      <c r="D78" s="6"/>
      <c r="E78" s="6" t="s">
        <v>326</v>
      </c>
      <c r="F78" s="6">
        <v>-58.5332</v>
      </c>
      <c r="G78" s="6">
        <v>-34.6055</v>
      </c>
      <c r="H78" s="9" t="s">
        <v>327</v>
      </c>
      <c r="I78" s="13" t="s">
        <v>19</v>
      </c>
      <c r="J78" s="13" t="s">
        <v>20</v>
      </c>
      <c r="K78" s="7" t="s">
        <v>21</v>
      </c>
      <c r="L78" s="9">
        <f t="shared" si="1"/>
        <v>137</v>
      </c>
      <c r="M78" s="9">
        <f t="shared" si="2"/>
        <v>135</v>
      </c>
      <c r="N78" s="9">
        <f t="shared" si="3"/>
        <v>270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ht="24.0" customHeight="1">
      <c r="A79" s="6" t="s">
        <v>328</v>
      </c>
      <c r="B79" s="6" t="s">
        <v>329</v>
      </c>
      <c r="C79" s="6" t="s">
        <v>330</v>
      </c>
      <c r="D79" s="6"/>
      <c r="E79" s="6" t="s">
        <v>331</v>
      </c>
      <c r="F79" s="6">
        <v>-58.5936</v>
      </c>
      <c r="G79" s="6">
        <v>-34.5957</v>
      </c>
      <c r="H79" s="9" t="s">
        <v>332</v>
      </c>
      <c r="I79" s="13" t="s">
        <v>19</v>
      </c>
      <c r="J79" s="13" t="s">
        <v>20</v>
      </c>
      <c r="K79" s="7" t="s">
        <v>21</v>
      </c>
      <c r="L79" s="9">
        <f t="shared" si="1"/>
        <v>1400</v>
      </c>
      <c r="M79" s="9">
        <f t="shared" si="2"/>
        <v>1245</v>
      </c>
      <c r="N79" s="9">
        <f t="shared" si="3"/>
        <v>1245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ht="24.0" customHeight="1">
      <c r="A80" s="6" t="s">
        <v>333</v>
      </c>
      <c r="B80" s="6" t="s">
        <v>329</v>
      </c>
      <c r="C80" s="6" t="s">
        <v>334</v>
      </c>
      <c r="D80" s="6"/>
      <c r="E80" s="6" t="s">
        <v>335</v>
      </c>
      <c r="F80" s="6">
        <v>-58.5649</v>
      </c>
      <c r="G80" s="6">
        <v>-34.6064</v>
      </c>
      <c r="H80" s="9" t="s">
        <v>336</v>
      </c>
      <c r="I80" s="13" t="s">
        <v>19</v>
      </c>
      <c r="J80" s="13" t="s">
        <v>26</v>
      </c>
      <c r="K80" s="7" t="s">
        <v>21</v>
      </c>
      <c r="L80" s="9">
        <f t="shared" si="1"/>
        <v>500</v>
      </c>
      <c r="M80" s="9">
        <f t="shared" si="2"/>
        <v>500</v>
      </c>
      <c r="N80" s="9">
        <f t="shared" si="3"/>
        <v>740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ht="24.0" customHeight="1">
      <c r="A81" s="6" t="s">
        <v>337</v>
      </c>
      <c r="B81" s="6" t="s">
        <v>329</v>
      </c>
      <c r="C81" s="6" t="s">
        <v>338</v>
      </c>
      <c r="D81" s="6"/>
      <c r="E81" s="6" t="s">
        <v>142</v>
      </c>
      <c r="F81" s="6">
        <v>-58.5353</v>
      </c>
      <c r="G81" s="6">
        <v>-34.6327</v>
      </c>
      <c r="H81" s="9" t="s">
        <v>339</v>
      </c>
      <c r="I81" s="13" t="s">
        <v>19</v>
      </c>
      <c r="J81" s="13" t="s">
        <v>26</v>
      </c>
      <c r="K81" s="7" t="s">
        <v>21</v>
      </c>
      <c r="L81" s="9">
        <f t="shared" si="1"/>
        <v>200</v>
      </c>
      <c r="M81" s="9">
        <f t="shared" si="2"/>
        <v>190</v>
      </c>
      <c r="N81" s="9">
        <f t="shared" si="3"/>
        <v>170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ht="24.0" customHeight="1">
      <c r="A82" s="6" t="s">
        <v>340</v>
      </c>
      <c r="B82" s="6" t="s">
        <v>329</v>
      </c>
      <c r="C82" s="6" t="s">
        <v>341</v>
      </c>
      <c r="D82" s="6"/>
      <c r="E82" s="6" t="s">
        <v>342</v>
      </c>
      <c r="F82" s="6">
        <v>-58.5336</v>
      </c>
      <c r="G82" s="6">
        <v>-34.6189</v>
      </c>
      <c r="H82" s="9" t="s">
        <v>343</v>
      </c>
      <c r="I82" s="13" t="s">
        <v>19</v>
      </c>
      <c r="J82" s="13" t="s">
        <v>26</v>
      </c>
      <c r="K82" s="7" t="s">
        <v>21</v>
      </c>
      <c r="L82" s="9">
        <f t="shared" si="1"/>
        <v>205</v>
      </c>
      <c r="M82" s="9">
        <f t="shared" si="2"/>
        <v>250</v>
      </c>
      <c r="N82" s="9">
        <f t="shared" si="3"/>
        <v>240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ht="24.0" customHeight="1">
      <c r="A83" s="6" t="s">
        <v>344</v>
      </c>
      <c r="B83" s="6" t="s">
        <v>329</v>
      </c>
      <c r="C83" s="6" t="s">
        <v>345</v>
      </c>
      <c r="D83" s="6"/>
      <c r="E83" s="6" t="s">
        <v>170</v>
      </c>
      <c r="F83" s="6">
        <v>-58.5293</v>
      </c>
      <c r="G83" s="6">
        <v>-34.6077</v>
      </c>
      <c r="H83" s="9" t="s">
        <v>346</v>
      </c>
      <c r="I83" s="13" t="s">
        <v>19</v>
      </c>
      <c r="J83" s="13" t="s">
        <v>20</v>
      </c>
      <c r="K83" s="7" t="s">
        <v>21</v>
      </c>
      <c r="L83" s="9">
        <f t="shared" si="1"/>
        <v>238</v>
      </c>
      <c r="M83" s="9">
        <f t="shared" si="2"/>
        <v>249</v>
      </c>
      <c r="N83" s="9">
        <f t="shared" si="3"/>
        <v>240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ht="24.0" customHeight="1">
      <c r="A84" s="6" t="s">
        <v>347</v>
      </c>
      <c r="B84" s="6" t="s">
        <v>329</v>
      </c>
      <c r="C84" s="6" t="s">
        <v>348</v>
      </c>
      <c r="D84" s="6"/>
      <c r="E84" s="6" t="s">
        <v>349</v>
      </c>
      <c r="F84" s="6">
        <v>-58.5412</v>
      </c>
      <c r="G84" s="6">
        <v>-34.6233</v>
      </c>
      <c r="H84" s="9" t="s">
        <v>350</v>
      </c>
      <c r="I84" s="13" t="s">
        <v>19</v>
      </c>
      <c r="J84" s="13" t="s">
        <v>20</v>
      </c>
      <c r="K84" s="7" t="s">
        <v>21</v>
      </c>
      <c r="L84" s="9">
        <f t="shared" si="1"/>
        <v>306</v>
      </c>
      <c r="M84" s="9">
        <f t="shared" si="2"/>
        <v>354</v>
      </c>
      <c r="N84" s="9">
        <f t="shared" si="3"/>
        <v>208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ht="24.0" customHeight="1">
      <c r="A85" s="6" t="s">
        <v>351</v>
      </c>
      <c r="B85" s="6" t="s">
        <v>329</v>
      </c>
      <c r="C85" s="6" t="s">
        <v>352</v>
      </c>
      <c r="D85" s="6"/>
      <c r="E85" s="6" t="s">
        <v>353</v>
      </c>
      <c r="F85" s="6">
        <v>-58.5573</v>
      </c>
      <c r="G85" s="6">
        <v>-34.6057</v>
      </c>
      <c r="H85" s="9" t="s">
        <v>354</v>
      </c>
      <c r="I85" s="13" t="s">
        <v>19</v>
      </c>
      <c r="J85" s="13" t="s">
        <v>26</v>
      </c>
      <c r="K85" s="7" t="s">
        <v>21</v>
      </c>
      <c r="L85" s="9">
        <f t="shared" si="1"/>
        <v>400</v>
      </c>
      <c r="M85" s="9">
        <f t="shared" si="2"/>
        <v>406</v>
      </c>
      <c r="N85" s="9">
        <f t="shared" si="3"/>
        <v>380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ht="24.0" customHeight="1">
      <c r="A86" s="6" t="s">
        <v>355</v>
      </c>
      <c r="B86" s="6" t="s">
        <v>329</v>
      </c>
      <c r="C86" s="6" t="s">
        <v>356</v>
      </c>
      <c r="D86" s="6"/>
      <c r="E86" s="6" t="s">
        <v>357</v>
      </c>
      <c r="F86" s="6">
        <v>-58.5519</v>
      </c>
      <c r="G86" s="6">
        <v>-34.5937</v>
      </c>
      <c r="H86" s="9" t="s">
        <v>358</v>
      </c>
      <c r="I86" s="13" t="s">
        <v>19</v>
      </c>
      <c r="J86" s="13" t="s">
        <v>26</v>
      </c>
      <c r="K86" s="7" t="s">
        <v>21</v>
      </c>
      <c r="L86" s="9">
        <f t="shared" si="1"/>
        <v>270</v>
      </c>
      <c r="M86" s="9">
        <f t="shared" si="2"/>
        <v>301</v>
      </c>
      <c r="N86" s="9">
        <f t="shared" si="3"/>
        <v>280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ht="24.0" customHeight="1">
      <c r="A87" s="6" t="s">
        <v>359</v>
      </c>
      <c r="B87" s="6" t="s">
        <v>329</v>
      </c>
      <c r="C87" s="6" t="s">
        <v>360</v>
      </c>
      <c r="D87" s="6"/>
      <c r="E87" s="6" t="s">
        <v>186</v>
      </c>
      <c r="F87" s="6">
        <v>-58.5552</v>
      </c>
      <c r="G87" s="6">
        <v>-34.6184</v>
      </c>
      <c r="H87" s="9" t="s">
        <v>361</v>
      </c>
      <c r="I87" s="13" t="s">
        <v>19</v>
      </c>
      <c r="J87" s="13" t="s">
        <v>26</v>
      </c>
      <c r="K87" s="7" t="s">
        <v>21</v>
      </c>
      <c r="L87" s="9">
        <f t="shared" si="1"/>
        <v>148</v>
      </c>
      <c r="M87" s="9">
        <f t="shared" si="2"/>
        <v>168</v>
      </c>
      <c r="N87" s="9">
        <f t="shared" si="3"/>
        <v>148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ht="24.0" customHeight="1">
      <c r="A88" s="6" t="s">
        <v>362</v>
      </c>
      <c r="B88" s="6" t="s">
        <v>329</v>
      </c>
      <c r="C88" s="6" t="s">
        <v>363</v>
      </c>
      <c r="D88" s="6"/>
      <c r="E88" s="6" t="s">
        <v>364</v>
      </c>
      <c r="F88" s="6">
        <v>-58.5909</v>
      </c>
      <c r="G88" s="6">
        <v>-34.5758</v>
      </c>
      <c r="H88" s="9" t="s">
        <v>365</v>
      </c>
      <c r="I88" s="13" t="s">
        <v>19</v>
      </c>
      <c r="J88" s="13" t="s">
        <v>20</v>
      </c>
      <c r="K88" s="7" t="s">
        <v>21</v>
      </c>
      <c r="L88" s="9">
        <f t="shared" si="1"/>
        <v>362</v>
      </c>
      <c r="M88" s="9">
        <f t="shared" si="2"/>
        <v>289</v>
      </c>
      <c r="N88" s="9">
        <f t="shared" si="3"/>
        <v>289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ht="24.0" customHeight="1">
      <c r="A89" s="6" t="s">
        <v>366</v>
      </c>
      <c r="B89" s="6" t="s">
        <v>329</v>
      </c>
      <c r="C89" s="6" t="s">
        <v>367</v>
      </c>
      <c r="D89" s="6"/>
      <c r="E89" s="6" t="s">
        <v>368</v>
      </c>
      <c r="F89" s="6">
        <v>-58.5876</v>
      </c>
      <c r="G89" s="6">
        <v>-34.5727</v>
      </c>
      <c r="H89" s="9" t="s">
        <v>365</v>
      </c>
      <c r="I89" s="13" t="s">
        <v>19</v>
      </c>
      <c r="J89" s="13" t="s">
        <v>44</v>
      </c>
      <c r="K89" s="7" t="s">
        <v>21</v>
      </c>
      <c r="L89" s="9">
        <f t="shared" si="1"/>
        <v>97</v>
      </c>
      <c r="M89" s="9">
        <f t="shared" si="2"/>
        <v>115</v>
      </c>
      <c r="N89" s="9">
        <f t="shared" si="3"/>
        <v>115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ht="24.0" customHeight="1">
      <c r="A90" s="6" t="s">
        <v>369</v>
      </c>
      <c r="B90" s="6" t="s">
        <v>329</v>
      </c>
      <c r="C90" s="6" t="s">
        <v>370</v>
      </c>
      <c r="D90" s="6"/>
      <c r="E90" s="6" t="s">
        <v>371</v>
      </c>
      <c r="F90" s="6">
        <v>-58.5728</v>
      </c>
      <c r="G90" s="6">
        <v>-34.6191</v>
      </c>
      <c r="H90" s="9" t="s">
        <v>372</v>
      </c>
      <c r="I90" s="13" t="s">
        <v>19</v>
      </c>
      <c r="J90" s="13" t="s">
        <v>20</v>
      </c>
      <c r="K90" s="7" t="s">
        <v>21</v>
      </c>
      <c r="L90" s="9">
        <f t="shared" si="1"/>
        <v>150</v>
      </c>
      <c r="M90" s="9">
        <f t="shared" si="2"/>
        <v>143</v>
      </c>
      <c r="N90" s="9">
        <f t="shared" si="3"/>
        <v>130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ht="24.0" customHeight="1">
      <c r="A91" s="6" t="s">
        <v>373</v>
      </c>
      <c r="B91" s="6" t="s">
        <v>329</v>
      </c>
      <c r="C91" s="6" t="s">
        <v>374</v>
      </c>
      <c r="D91" s="6"/>
      <c r="E91" s="6" t="s">
        <v>24</v>
      </c>
      <c r="F91" s="6">
        <v>-58.5582</v>
      </c>
      <c r="G91" s="6">
        <v>-34.6185</v>
      </c>
      <c r="H91" s="9" t="s">
        <v>372</v>
      </c>
      <c r="I91" s="13" t="s">
        <v>19</v>
      </c>
      <c r="J91" s="13" t="s">
        <v>20</v>
      </c>
      <c r="K91" s="7" t="s">
        <v>21</v>
      </c>
      <c r="L91" s="9">
        <f t="shared" si="1"/>
        <v>130</v>
      </c>
      <c r="M91" s="9">
        <f t="shared" si="2"/>
        <v>122</v>
      </c>
      <c r="N91" s="9">
        <f t="shared" si="3"/>
        <v>120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ht="24.0" customHeight="1">
      <c r="A92" s="6" t="s">
        <v>375</v>
      </c>
      <c r="B92" s="6" t="s">
        <v>329</v>
      </c>
      <c r="C92" s="6" t="s">
        <v>376</v>
      </c>
      <c r="D92" s="6"/>
      <c r="E92" s="6" t="s">
        <v>65</v>
      </c>
      <c r="F92" s="6">
        <v>-58.5445</v>
      </c>
      <c r="G92" s="6">
        <v>-34.6035</v>
      </c>
      <c r="H92" s="9" t="s">
        <v>377</v>
      </c>
      <c r="I92" s="13" t="s">
        <v>19</v>
      </c>
      <c r="J92" s="13" t="s">
        <v>20</v>
      </c>
      <c r="K92" s="7" t="s">
        <v>21</v>
      </c>
      <c r="L92" s="9">
        <f t="shared" si="1"/>
        <v>153</v>
      </c>
      <c r="M92" s="9">
        <f t="shared" si="2"/>
        <v>168</v>
      </c>
      <c r="N92" s="9">
        <f t="shared" si="3"/>
        <v>168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ht="24.0" customHeight="1">
      <c r="A93" s="6" t="s">
        <v>378</v>
      </c>
      <c r="B93" s="6" t="s">
        <v>329</v>
      </c>
      <c r="C93" s="6" t="s">
        <v>379</v>
      </c>
      <c r="D93" s="6"/>
      <c r="E93" s="6" t="s">
        <v>380</v>
      </c>
      <c r="F93" s="6">
        <v>-58.5517</v>
      </c>
      <c r="G93" s="6">
        <v>-34.6008</v>
      </c>
      <c r="H93" s="9" t="s">
        <v>377</v>
      </c>
      <c r="I93" s="13" t="s">
        <v>19</v>
      </c>
      <c r="J93" s="13" t="s">
        <v>20</v>
      </c>
      <c r="K93" s="7" t="s">
        <v>21</v>
      </c>
      <c r="L93" s="9">
        <f t="shared" si="1"/>
        <v>147</v>
      </c>
      <c r="M93" s="9">
        <f t="shared" si="2"/>
        <v>155</v>
      </c>
      <c r="N93" s="9">
        <f t="shared" si="3"/>
        <v>155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ht="24.0" customHeight="1">
      <c r="A94" s="6" t="s">
        <v>381</v>
      </c>
      <c r="B94" s="6" t="s">
        <v>329</v>
      </c>
      <c r="C94" s="6" t="s">
        <v>382</v>
      </c>
      <c r="D94" s="6"/>
      <c r="E94" s="6" t="s">
        <v>78</v>
      </c>
      <c r="F94" s="6">
        <v>-58.5812</v>
      </c>
      <c r="G94" s="6">
        <v>-34.6072</v>
      </c>
      <c r="H94" s="9" t="s">
        <v>383</v>
      </c>
      <c r="I94" s="13" t="s">
        <v>19</v>
      </c>
      <c r="J94" s="13" t="s">
        <v>20</v>
      </c>
      <c r="K94" s="7" t="s">
        <v>21</v>
      </c>
      <c r="L94" s="9">
        <f t="shared" si="1"/>
        <v>90</v>
      </c>
      <c r="M94" s="9">
        <f t="shared" si="2"/>
        <v>100</v>
      </c>
      <c r="N94" s="9">
        <f t="shared" si="3"/>
        <v>100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ht="24.0" customHeight="1">
      <c r="A95" s="6" t="s">
        <v>381</v>
      </c>
      <c r="B95" s="6" t="s">
        <v>329</v>
      </c>
      <c r="C95" s="6" t="s">
        <v>384</v>
      </c>
      <c r="D95" s="6"/>
      <c r="E95" s="6" t="s">
        <v>385</v>
      </c>
      <c r="F95" s="6">
        <v>-58.5928</v>
      </c>
      <c r="G95" s="6">
        <v>-34.6018</v>
      </c>
      <c r="H95" s="9" t="s">
        <v>386</v>
      </c>
      <c r="I95" s="13" t="s">
        <v>19</v>
      </c>
      <c r="J95" s="13" t="s">
        <v>20</v>
      </c>
      <c r="K95" s="7" t="s">
        <v>21</v>
      </c>
      <c r="L95" s="9">
        <f t="shared" si="1"/>
        <v>250</v>
      </c>
      <c r="M95" s="9">
        <f t="shared" si="2"/>
        <v>232</v>
      </c>
      <c r="N95" s="9">
        <f t="shared" si="3"/>
        <v>225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ht="24.0" customHeight="1">
      <c r="A96" s="6" t="s">
        <v>387</v>
      </c>
      <c r="B96" s="6" t="s">
        <v>329</v>
      </c>
      <c r="C96" s="6" t="s">
        <v>388</v>
      </c>
      <c r="D96" s="6"/>
      <c r="E96" s="6" t="s">
        <v>162</v>
      </c>
      <c r="F96" s="6">
        <v>-58.5329</v>
      </c>
      <c r="G96" s="6">
        <v>-34.642</v>
      </c>
      <c r="H96" s="9" t="s">
        <v>389</v>
      </c>
      <c r="I96" s="13" t="s">
        <v>19</v>
      </c>
      <c r="J96" s="13" t="s">
        <v>44</v>
      </c>
      <c r="K96" s="7" t="s">
        <v>21</v>
      </c>
      <c r="L96" s="9">
        <f t="shared" si="1"/>
        <v>260</v>
      </c>
      <c r="M96" s="9">
        <f t="shared" si="2"/>
        <v>200</v>
      </c>
      <c r="N96" s="9">
        <f t="shared" si="3"/>
        <v>200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ht="24.0" customHeight="1">
      <c r="A97" s="6" t="s">
        <v>390</v>
      </c>
      <c r="B97" s="6" t="s">
        <v>329</v>
      </c>
      <c r="C97" s="6" t="s">
        <v>391</v>
      </c>
      <c r="D97" s="6"/>
      <c r="E97" s="6" t="s">
        <v>392</v>
      </c>
      <c r="F97" s="6">
        <v>-58.5606</v>
      </c>
      <c r="G97" s="6">
        <v>-34.6204</v>
      </c>
      <c r="H97" s="9" t="s">
        <v>393</v>
      </c>
      <c r="I97" s="13" t="s">
        <v>19</v>
      </c>
      <c r="J97" s="13" t="s">
        <v>44</v>
      </c>
      <c r="K97" s="7" t="s">
        <v>21</v>
      </c>
      <c r="L97" s="9">
        <f t="shared" si="1"/>
        <v>120</v>
      </c>
      <c r="M97" s="9">
        <f t="shared" si="2"/>
        <v>91</v>
      </c>
      <c r="N97" s="9">
        <f t="shared" si="3"/>
        <v>91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ht="24.0" customHeight="1">
      <c r="A98" s="6" t="s">
        <v>394</v>
      </c>
      <c r="B98" s="6" t="s">
        <v>329</v>
      </c>
      <c r="C98" s="6" t="s">
        <v>395</v>
      </c>
      <c r="D98" s="6"/>
      <c r="E98" s="6" t="s">
        <v>314</v>
      </c>
      <c r="F98" s="6">
        <v>-58.6125</v>
      </c>
      <c r="G98" s="6">
        <v>-34.582</v>
      </c>
      <c r="H98" s="9" t="s">
        <v>396</v>
      </c>
      <c r="I98" s="13" t="s">
        <v>19</v>
      </c>
      <c r="J98" s="13" t="s">
        <v>20</v>
      </c>
      <c r="K98" s="7" t="s">
        <v>21</v>
      </c>
      <c r="L98" s="9">
        <f t="shared" si="1"/>
        <v>330</v>
      </c>
      <c r="M98" s="9">
        <f t="shared" si="2"/>
        <v>334</v>
      </c>
      <c r="N98" s="9">
        <f t="shared" si="3"/>
        <v>320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ht="24.0" customHeight="1">
      <c r="A99" s="6" t="s">
        <v>397</v>
      </c>
      <c r="B99" s="6" t="s">
        <v>329</v>
      </c>
      <c r="C99" s="6" t="s">
        <v>398</v>
      </c>
      <c r="D99" s="6"/>
      <c r="E99" s="6" t="s">
        <v>399</v>
      </c>
      <c r="F99" s="6">
        <v>-58.5775</v>
      </c>
      <c r="G99" s="6">
        <v>-34.6134</v>
      </c>
      <c r="H99" s="9" t="s">
        <v>400</v>
      </c>
      <c r="I99" s="13" t="s">
        <v>19</v>
      </c>
      <c r="J99" s="13" t="s">
        <v>20</v>
      </c>
      <c r="K99" s="7" t="s">
        <v>21</v>
      </c>
      <c r="L99" s="9">
        <f t="shared" si="1"/>
        <v>129</v>
      </c>
      <c r="M99" s="9">
        <f t="shared" si="2"/>
        <v>137</v>
      </c>
      <c r="N99" s="9">
        <f t="shared" si="3"/>
        <v>146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ht="24.0" customHeight="1">
      <c r="A100" s="6" t="s">
        <v>401</v>
      </c>
      <c r="B100" s="6" t="s">
        <v>329</v>
      </c>
      <c r="C100" s="6" t="s">
        <v>402</v>
      </c>
      <c r="D100" s="6"/>
      <c r="E100" s="6" t="s">
        <v>403</v>
      </c>
      <c r="F100" s="6">
        <v>-58.5655</v>
      </c>
      <c r="G100" s="6">
        <v>-34.6149</v>
      </c>
      <c r="H100" s="9" t="s">
        <v>404</v>
      </c>
      <c r="I100" s="13" t="s">
        <v>19</v>
      </c>
      <c r="J100" s="13" t="s">
        <v>20</v>
      </c>
      <c r="K100" s="7" t="s">
        <v>21</v>
      </c>
      <c r="L100" s="9">
        <f t="shared" si="1"/>
        <v>235</v>
      </c>
      <c r="M100" s="9">
        <f t="shared" si="2"/>
        <v>220</v>
      </c>
      <c r="N100" s="9">
        <f t="shared" si="3"/>
        <v>224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ht="24.0" customHeight="1">
      <c r="A101" s="6" t="s">
        <v>405</v>
      </c>
      <c r="B101" s="6" t="s">
        <v>329</v>
      </c>
      <c r="C101" s="6" t="s">
        <v>406</v>
      </c>
      <c r="D101" s="6"/>
      <c r="E101" s="6" t="s">
        <v>407</v>
      </c>
      <c r="F101" s="6">
        <v>-58.5425</v>
      </c>
      <c r="G101" s="6">
        <v>-34.6386</v>
      </c>
      <c r="H101" s="9" t="s">
        <v>408</v>
      </c>
      <c r="I101" s="13" t="s">
        <v>19</v>
      </c>
      <c r="J101" s="13" t="s">
        <v>20</v>
      </c>
      <c r="K101" s="7" t="s">
        <v>21</v>
      </c>
      <c r="L101" s="9">
        <f t="shared" si="1"/>
        <v>300</v>
      </c>
      <c r="M101" s="9">
        <f t="shared" si="2"/>
        <v>310</v>
      </c>
      <c r="N101" s="9">
        <f t="shared" si="3"/>
        <v>360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ht="24.0" customHeight="1">
      <c r="A102" s="6" t="s">
        <v>409</v>
      </c>
      <c r="B102" s="6" t="s">
        <v>329</v>
      </c>
      <c r="C102" s="6" t="s">
        <v>410</v>
      </c>
      <c r="D102" s="6"/>
      <c r="E102" s="6" t="s">
        <v>114</v>
      </c>
      <c r="F102" s="6">
        <v>-58.563</v>
      </c>
      <c r="G102" s="6">
        <v>-34.6268</v>
      </c>
      <c r="H102" s="9" t="s">
        <v>411</v>
      </c>
      <c r="I102" s="13" t="s">
        <v>19</v>
      </c>
      <c r="J102" s="13" t="s">
        <v>20</v>
      </c>
      <c r="K102" s="7" t="s">
        <v>21</v>
      </c>
      <c r="L102" s="9">
        <f t="shared" si="1"/>
        <v>200</v>
      </c>
      <c r="M102" s="9">
        <f t="shared" si="2"/>
        <v>228</v>
      </c>
      <c r="N102" s="9">
        <f t="shared" si="3"/>
        <v>264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ht="24.0" customHeight="1">
      <c r="A103" s="6" t="s">
        <v>412</v>
      </c>
      <c r="B103" s="6" t="s">
        <v>329</v>
      </c>
      <c r="C103" s="6" t="s">
        <v>413</v>
      </c>
      <c r="D103" s="6"/>
      <c r="E103" s="6" t="s">
        <v>414</v>
      </c>
      <c r="F103" s="6">
        <v>-58.5401</v>
      </c>
      <c r="G103" s="6">
        <v>-34.6453</v>
      </c>
      <c r="H103" s="9" t="s">
        <v>415</v>
      </c>
      <c r="I103" s="13" t="s">
        <v>19</v>
      </c>
      <c r="J103" s="13" t="s">
        <v>20</v>
      </c>
      <c r="K103" s="7" t="s">
        <v>21</v>
      </c>
      <c r="L103" s="9">
        <f t="shared" si="1"/>
        <v>190</v>
      </c>
      <c r="M103" s="9">
        <f t="shared" si="2"/>
        <v>170</v>
      </c>
      <c r="N103" s="9">
        <f t="shared" si="3"/>
        <v>160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ht="24.0" customHeight="1">
      <c r="A104" s="6" t="s">
        <v>416</v>
      </c>
      <c r="B104" s="6" t="s">
        <v>329</v>
      </c>
      <c r="C104" s="6" t="s">
        <v>417</v>
      </c>
      <c r="D104" s="6"/>
      <c r="E104" s="6" t="s">
        <v>418</v>
      </c>
      <c r="F104" s="6">
        <v>-58.5326</v>
      </c>
      <c r="G104" s="6">
        <v>-34.6264</v>
      </c>
      <c r="H104" s="9" t="s">
        <v>419</v>
      </c>
      <c r="I104" s="13" t="s">
        <v>19</v>
      </c>
      <c r="J104" s="13" t="s">
        <v>20</v>
      </c>
      <c r="K104" s="7" t="s">
        <v>21</v>
      </c>
      <c r="L104" s="9">
        <f t="shared" si="1"/>
        <v>157</v>
      </c>
      <c r="M104" s="9">
        <f t="shared" si="2"/>
        <v>140</v>
      </c>
      <c r="N104" s="9">
        <f t="shared" si="3"/>
        <v>116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ht="24.0" customHeight="1">
      <c r="A105" s="6" t="s">
        <v>420</v>
      </c>
      <c r="B105" s="6" t="s">
        <v>329</v>
      </c>
      <c r="C105" s="6" t="s">
        <v>421</v>
      </c>
      <c r="D105" s="6"/>
      <c r="E105" s="6" t="s">
        <v>422</v>
      </c>
      <c r="F105" s="6">
        <v>-58.5986</v>
      </c>
      <c r="G105" s="6">
        <v>-34.5815</v>
      </c>
      <c r="H105" s="9" t="s">
        <v>423</v>
      </c>
      <c r="I105" s="13" t="s">
        <v>19</v>
      </c>
      <c r="J105" s="13" t="s">
        <v>20</v>
      </c>
      <c r="K105" s="7" t="s">
        <v>21</v>
      </c>
      <c r="L105" s="9">
        <f t="shared" si="1"/>
        <v>320</v>
      </c>
      <c r="M105" s="9">
        <f t="shared" si="2"/>
        <v>332</v>
      </c>
      <c r="N105" s="9">
        <f t="shared" si="3"/>
        <v>320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24.0" customHeight="1">
      <c r="A106" s="6" t="s">
        <v>424</v>
      </c>
      <c r="B106" s="6" t="s">
        <v>329</v>
      </c>
      <c r="C106" s="6" t="s">
        <v>425</v>
      </c>
      <c r="D106" s="6"/>
      <c r="E106" s="6" t="s">
        <v>426</v>
      </c>
      <c r="F106" s="6">
        <v>-58.5619</v>
      </c>
      <c r="G106" s="6">
        <v>-34.606</v>
      </c>
      <c r="H106" s="9" t="s">
        <v>427</v>
      </c>
      <c r="I106" s="13" t="s">
        <v>19</v>
      </c>
      <c r="J106" s="13" t="s">
        <v>20</v>
      </c>
      <c r="K106" s="7" t="s">
        <v>21</v>
      </c>
      <c r="L106" s="9">
        <f t="shared" si="1"/>
        <v>290</v>
      </c>
      <c r="M106" s="9">
        <f t="shared" si="2"/>
        <v>288</v>
      </c>
      <c r="N106" s="9">
        <f t="shared" si="3"/>
        <v>288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24.0" customHeight="1">
      <c r="A107" s="6" t="s">
        <v>428</v>
      </c>
      <c r="B107" s="6" t="s">
        <v>329</v>
      </c>
      <c r="C107" s="6" t="s">
        <v>429</v>
      </c>
      <c r="D107" s="6"/>
      <c r="E107" s="6" t="s">
        <v>102</v>
      </c>
      <c r="F107" s="6">
        <v>-58.5744</v>
      </c>
      <c r="G107" s="6">
        <v>-34.5872</v>
      </c>
      <c r="H107" s="9" t="s">
        <v>430</v>
      </c>
      <c r="I107" s="13" t="s">
        <v>19</v>
      </c>
      <c r="J107" s="13" t="s">
        <v>44</v>
      </c>
      <c r="K107" s="7" t="s">
        <v>21</v>
      </c>
      <c r="L107" s="9">
        <f t="shared" si="1"/>
        <v>260</v>
      </c>
      <c r="M107" s="9">
        <f t="shared" si="2"/>
        <v>250</v>
      </c>
      <c r="N107" s="9">
        <f t="shared" si="3"/>
        <v>238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ht="24.0" customHeight="1">
      <c r="A108" s="6" t="s">
        <v>431</v>
      </c>
      <c r="B108" s="6" t="s">
        <v>329</v>
      </c>
      <c r="C108" s="6" t="s">
        <v>432</v>
      </c>
      <c r="D108" s="6"/>
      <c r="E108" s="6" t="s">
        <v>98</v>
      </c>
      <c r="F108" s="6">
        <v>-58.5439</v>
      </c>
      <c r="G108" s="6">
        <v>-34.6143</v>
      </c>
      <c r="H108" s="9" t="s">
        <v>433</v>
      </c>
      <c r="I108" s="13" t="s">
        <v>19</v>
      </c>
      <c r="J108" s="13" t="s">
        <v>44</v>
      </c>
      <c r="K108" s="7" t="s">
        <v>21</v>
      </c>
      <c r="L108" s="9">
        <f t="shared" si="1"/>
        <v>130</v>
      </c>
      <c r="M108" s="9">
        <f t="shared" si="2"/>
        <v>135</v>
      </c>
      <c r="N108" s="9">
        <f t="shared" si="3"/>
        <v>135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ht="24.0" customHeight="1">
      <c r="A109" s="6" t="s">
        <v>434</v>
      </c>
      <c r="B109" s="6" t="s">
        <v>329</v>
      </c>
      <c r="C109" s="6" t="s">
        <v>435</v>
      </c>
      <c r="D109" s="6"/>
      <c r="E109" s="6" t="s">
        <v>436</v>
      </c>
      <c r="F109" s="6">
        <v>-58.5462</v>
      </c>
      <c r="G109" s="6">
        <v>-34.6037</v>
      </c>
      <c r="H109" s="9" t="s">
        <v>437</v>
      </c>
      <c r="I109" s="13" t="s">
        <v>19</v>
      </c>
      <c r="J109" s="13" t="s">
        <v>26</v>
      </c>
      <c r="K109" s="7" t="s">
        <v>21</v>
      </c>
      <c r="L109" s="9">
        <f t="shared" si="1"/>
        <v>700</v>
      </c>
      <c r="M109" s="9">
        <f t="shared" si="2"/>
        <v>650</v>
      </c>
      <c r="N109" s="9">
        <f t="shared" si="3"/>
        <v>640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ht="24.0" customHeight="1">
      <c r="A110" s="6" t="s">
        <v>438</v>
      </c>
      <c r="B110" s="6" t="s">
        <v>329</v>
      </c>
      <c r="C110" s="6" t="s">
        <v>439</v>
      </c>
      <c r="D110" s="6"/>
      <c r="E110" s="6" t="s">
        <v>440</v>
      </c>
      <c r="F110" s="6">
        <v>-58.5991</v>
      </c>
      <c r="G110" s="6">
        <v>-34.5889</v>
      </c>
      <c r="H110" s="9" t="s">
        <v>441</v>
      </c>
      <c r="I110" s="13" t="s">
        <v>19</v>
      </c>
      <c r="J110" s="13" t="s">
        <v>26</v>
      </c>
      <c r="K110" s="7" t="s">
        <v>21</v>
      </c>
      <c r="L110" s="9">
        <f t="shared" si="1"/>
        <v>700</v>
      </c>
      <c r="M110" s="9">
        <f t="shared" si="2"/>
        <v>1100</v>
      </c>
      <c r="N110" s="9">
        <f t="shared" si="3"/>
        <v>1100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ht="24.0" customHeight="1">
      <c r="A111" s="6" t="s">
        <v>442</v>
      </c>
      <c r="B111" s="6" t="s">
        <v>329</v>
      </c>
      <c r="C111" s="6" t="s">
        <v>443</v>
      </c>
      <c r="D111" s="6"/>
      <c r="E111" s="6" t="s">
        <v>444</v>
      </c>
      <c r="F111" s="6">
        <v>-58.5381</v>
      </c>
      <c r="G111" s="6">
        <v>-34.6231</v>
      </c>
      <c r="H111" s="9" t="s">
        <v>445</v>
      </c>
      <c r="I111" s="13" t="s">
        <v>19</v>
      </c>
      <c r="J111" s="13" t="s">
        <v>20</v>
      </c>
      <c r="K111" s="7" t="s">
        <v>21</v>
      </c>
      <c r="L111" s="9">
        <f t="shared" si="1"/>
        <v>240</v>
      </c>
      <c r="M111" s="9">
        <f t="shared" si="2"/>
        <v>248</v>
      </c>
      <c r="N111" s="9">
        <f t="shared" si="3"/>
        <v>265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ht="24.0" customHeight="1">
      <c r="A112" s="6" t="s">
        <v>446</v>
      </c>
      <c r="B112" s="6" t="s">
        <v>15</v>
      </c>
      <c r="C112" s="6" t="s">
        <v>447</v>
      </c>
      <c r="D112" s="6"/>
      <c r="E112" s="6" t="s">
        <v>448</v>
      </c>
      <c r="F112" s="6">
        <v>-58.6183</v>
      </c>
      <c r="G112" s="6">
        <v>-34.5559</v>
      </c>
      <c r="H112" s="9" t="s">
        <v>449</v>
      </c>
      <c r="I112" s="13" t="s">
        <v>19</v>
      </c>
      <c r="J112" s="13" t="s">
        <v>20</v>
      </c>
      <c r="K112" s="7" t="s">
        <v>21</v>
      </c>
      <c r="L112" s="9">
        <f t="shared" si="1"/>
        <v>220</v>
      </c>
      <c r="M112" s="9">
        <f t="shared" si="2"/>
        <v>240</v>
      </c>
      <c r="N112" s="9">
        <f t="shared" si="3"/>
        <v>240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ht="24.0" customHeight="1">
      <c r="A113" s="6" t="s">
        <v>450</v>
      </c>
      <c r="B113" s="6" t="s">
        <v>40</v>
      </c>
      <c r="C113" s="6" t="s">
        <v>451</v>
      </c>
      <c r="D113" s="6"/>
      <c r="E113" s="6" t="s">
        <v>452</v>
      </c>
      <c r="F113" s="6">
        <v>-58.6121</v>
      </c>
      <c r="G113" s="6">
        <v>-34.5663</v>
      </c>
      <c r="H113" s="9" t="s">
        <v>453</v>
      </c>
      <c r="I113" s="13" t="s">
        <v>19</v>
      </c>
      <c r="J113" s="13" t="s">
        <v>20</v>
      </c>
      <c r="K113" s="7" t="s">
        <v>21</v>
      </c>
      <c r="L113" s="9">
        <f t="shared" si="1"/>
        <v>380</v>
      </c>
      <c r="M113" s="9">
        <f t="shared" si="2"/>
        <v>340</v>
      </c>
      <c r="N113" s="9">
        <f t="shared" si="3"/>
        <v>340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ht="24.0" customHeight="1">
      <c r="A114" s="6" t="s">
        <v>454</v>
      </c>
      <c r="B114" s="6" t="s">
        <v>40</v>
      </c>
      <c r="C114" s="6" t="s">
        <v>455</v>
      </c>
      <c r="D114" s="6"/>
      <c r="E114" s="6" t="s">
        <v>456</v>
      </c>
      <c r="F114" s="6">
        <v>-58.6215</v>
      </c>
      <c r="G114" s="6">
        <v>-34.5651</v>
      </c>
      <c r="H114" s="9" t="s">
        <v>457</v>
      </c>
      <c r="I114" s="13" t="s">
        <v>19</v>
      </c>
      <c r="J114" s="13" t="s">
        <v>54</v>
      </c>
      <c r="K114" s="7" t="s">
        <v>21</v>
      </c>
      <c r="L114" s="9">
        <f t="shared" si="1"/>
        <v>460</v>
      </c>
      <c r="M114" s="9">
        <f t="shared" si="2"/>
        <v>400</v>
      </c>
      <c r="N114" s="9">
        <f t="shared" si="3"/>
        <v>400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ht="24.0" customHeight="1">
      <c r="A115" s="6" t="s">
        <v>458</v>
      </c>
      <c r="B115" s="6" t="s">
        <v>40</v>
      </c>
      <c r="C115" s="6" t="s">
        <v>459</v>
      </c>
      <c r="D115" s="6"/>
      <c r="E115" s="6" t="s">
        <v>460</v>
      </c>
      <c r="F115" s="6">
        <v>-58.6203</v>
      </c>
      <c r="G115" s="6">
        <v>-34.5592</v>
      </c>
      <c r="H115" s="9" t="s">
        <v>461</v>
      </c>
      <c r="I115" s="13" t="s">
        <v>19</v>
      </c>
      <c r="J115" s="13" t="s">
        <v>20</v>
      </c>
      <c r="K115" s="7" t="s">
        <v>21</v>
      </c>
      <c r="L115" s="9">
        <f t="shared" si="1"/>
        <v>427</v>
      </c>
      <c r="M115" s="9">
        <f t="shared" si="2"/>
        <v>422</v>
      </c>
      <c r="N115" s="9">
        <f t="shared" si="3"/>
        <v>422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ht="24.0" customHeight="1">
      <c r="A116" s="6" t="s">
        <v>462</v>
      </c>
      <c r="B116" s="6" t="s">
        <v>40</v>
      </c>
      <c r="C116" s="6" t="s">
        <v>463</v>
      </c>
      <c r="D116" s="6"/>
      <c r="E116" s="6" t="s">
        <v>464</v>
      </c>
      <c r="F116" s="6">
        <v>-58.5993</v>
      </c>
      <c r="G116" s="6">
        <v>-34.5663</v>
      </c>
      <c r="H116" s="9" t="s">
        <v>465</v>
      </c>
      <c r="I116" s="13" t="s">
        <v>19</v>
      </c>
      <c r="J116" s="13" t="s">
        <v>20</v>
      </c>
      <c r="K116" s="7" t="s">
        <v>21</v>
      </c>
      <c r="L116" s="9">
        <f t="shared" si="1"/>
        <v>590</v>
      </c>
      <c r="M116" s="9">
        <f t="shared" si="2"/>
        <v>565</v>
      </c>
      <c r="N116" s="9">
        <f t="shared" si="3"/>
        <v>565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ht="24.0" customHeight="1">
      <c r="A117" s="6" t="s">
        <v>466</v>
      </c>
      <c r="B117" s="6" t="s">
        <v>40</v>
      </c>
      <c r="C117" s="6" t="s">
        <v>467</v>
      </c>
      <c r="D117" s="6"/>
      <c r="E117" s="6" t="s">
        <v>468</v>
      </c>
      <c r="F117" s="6">
        <v>-58.6158</v>
      </c>
      <c r="G117" s="6">
        <v>-34.573</v>
      </c>
      <c r="H117" s="9" t="s">
        <v>469</v>
      </c>
      <c r="I117" s="13" t="s">
        <v>19</v>
      </c>
      <c r="J117" s="13" t="s">
        <v>20</v>
      </c>
      <c r="K117" s="7" t="s">
        <v>21</v>
      </c>
      <c r="L117" s="9">
        <f t="shared" si="1"/>
        <v>540</v>
      </c>
      <c r="M117" s="9">
        <f t="shared" si="2"/>
        <v>528</v>
      </c>
      <c r="N117" s="9">
        <f t="shared" si="3"/>
        <v>510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ht="24.0" customHeight="1">
      <c r="A118" s="6" t="s">
        <v>470</v>
      </c>
      <c r="B118" s="6" t="s">
        <v>40</v>
      </c>
      <c r="C118" s="6" t="s">
        <v>471</v>
      </c>
      <c r="D118" s="6"/>
      <c r="E118" s="6" t="s">
        <v>472</v>
      </c>
      <c r="F118" s="6">
        <v>-58.6175</v>
      </c>
      <c r="G118" s="6">
        <v>-34.5564</v>
      </c>
      <c r="H118" s="9" t="s">
        <v>473</v>
      </c>
      <c r="I118" s="13" t="s">
        <v>19</v>
      </c>
      <c r="J118" s="13" t="s">
        <v>20</v>
      </c>
      <c r="K118" s="7" t="s">
        <v>21</v>
      </c>
      <c r="L118" s="9">
        <f t="shared" si="1"/>
        <v>360</v>
      </c>
      <c r="M118" s="9">
        <f t="shared" si="2"/>
        <v>372</v>
      </c>
      <c r="N118" s="9">
        <f t="shared" si="3"/>
        <v>331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ht="24.0" customHeight="1">
      <c r="A119" s="6" t="s">
        <v>474</v>
      </c>
      <c r="B119" s="6" t="s">
        <v>216</v>
      </c>
      <c r="C119" s="6" t="s">
        <v>475</v>
      </c>
      <c r="D119" s="6"/>
      <c r="E119" s="6" t="s">
        <v>476</v>
      </c>
      <c r="F119" s="6">
        <v>-58.6176</v>
      </c>
      <c r="G119" s="6">
        <v>-34.5555</v>
      </c>
      <c r="H119" s="9" t="s">
        <v>477</v>
      </c>
      <c r="I119" s="13" t="s">
        <v>19</v>
      </c>
      <c r="J119" s="13" t="s">
        <v>20</v>
      </c>
      <c r="K119" s="7" t="s">
        <v>21</v>
      </c>
      <c r="L119" s="9">
        <f t="shared" si="1"/>
        <v>195</v>
      </c>
      <c r="M119" s="9">
        <f t="shared" si="2"/>
        <v>161</v>
      </c>
      <c r="N119" s="9">
        <f t="shared" si="3"/>
        <v>161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ht="24.0" customHeight="1">
      <c r="A120" s="6" t="s">
        <v>478</v>
      </c>
      <c r="B120" s="6" t="s">
        <v>216</v>
      </c>
      <c r="C120" s="6" t="s">
        <v>479</v>
      </c>
      <c r="D120" s="6"/>
      <c r="E120" s="6" t="s">
        <v>480</v>
      </c>
      <c r="F120" s="6">
        <v>-58.6208</v>
      </c>
      <c r="G120" s="6">
        <v>-34.5597</v>
      </c>
      <c r="H120" s="9" t="s">
        <v>481</v>
      </c>
      <c r="I120" s="13" t="s">
        <v>19</v>
      </c>
      <c r="J120" s="13" t="s">
        <v>20</v>
      </c>
      <c r="K120" s="7" t="s">
        <v>21</v>
      </c>
      <c r="L120" s="9">
        <f t="shared" si="1"/>
        <v>186</v>
      </c>
      <c r="M120" s="9">
        <f t="shared" si="2"/>
        <v>150</v>
      </c>
      <c r="N120" s="9">
        <f t="shared" si="3"/>
        <v>130</v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ht="24.0" customHeight="1">
      <c r="A121" s="6" t="s">
        <v>482</v>
      </c>
      <c r="B121" s="6" t="s">
        <v>216</v>
      </c>
      <c r="C121" s="6" t="s">
        <v>483</v>
      </c>
      <c r="D121" s="6"/>
      <c r="E121" s="6" t="s">
        <v>484</v>
      </c>
      <c r="F121" s="6">
        <v>-58.6113</v>
      </c>
      <c r="G121" s="6">
        <v>-34.5659</v>
      </c>
      <c r="H121" s="9" t="s">
        <v>485</v>
      </c>
      <c r="I121" s="13" t="s">
        <v>19</v>
      </c>
      <c r="J121" s="13" t="s">
        <v>20</v>
      </c>
      <c r="K121" s="7" t="s">
        <v>21</v>
      </c>
      <c r="L121" s="9">
        <f t="shared" si="1"/>
        <v>280</v>
      </c>
      <c r="M121" s="9">
        <f t="shared" si="2"/>
        <v>180</v>
      </c>
      <c r="N121" s="9">
        <f t="shared" si="3"/>
        <v>180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ht="24.0" customHeight="1">
      <c r="A122" s="6" t="s">
        <v>486</v>
      </c>
      <c r="B122" s="6" t="s">
        <v>216</v>
      </c>
      <c r="C122" s="6" t="s">
        <v>487</v>
      </c>
      <c r="D122" s="6"/>
      <c r="E122" s="6" t="s">
        <v>488</v>
      </c>
      <c r="F122" s="6">
        <v>-58.599</v>
      </c>
      <c r="G122" s="6">
        <v>-34.5663</v>
      </c>
      <c r="H122" s="9" t="s">
        <v>489</v>
      </c>
      <c r="I122" s="13" t="s">
        <v>19</v>
      </c>
      <c r="J122" s="13" t="s">
        <v>20</v>
      </c>
      <c r="K122" s="7" t="s">
        <v>21</v>
      </c>
      <c r="L122" s="9">
        <f t="shared" si="1"/>
        <v>150</v>
      </c>
      <c r="M122" s="9">
        <f t="shared" si="2"/>
        <v>149</v>
      </c>
      <c r="N122" s="9">
        <f t="shared" si="3"/>
        <v>149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ht="24.0" customHeight="1">
      <c r="A123" s="6" t="s">
        <v>490</v>
      </c>
      <c r="B123" s="6" t="s">
        <v>329</v>
      </c>
      <c r="C123" s="6" t="s">
        <v>491</v>
      </c>
      <c r="D123" s="6"/>
      <c r="E123" s="6" t="s">
        <v>42</v>
      </c>
      <c r="F123" s="6">
        <v>-58.5664</v>
      </c>
      <c r="G123" s="6">
        <v>-34.6014</v>
      </c>
      <c r="H123" s="9" t="s">
        <v>492</v>
      </c>
      <c r="I123" s="13" t="s">
        <v>19</v>
      </c>
      <c r="J123" s="13" t="s">
        <v>26</v>
      </c>
      <c r="K123" s="7" t="s">
        <v>21</v>
      </c>
      <c r="L123" s="9">
        <f t="shared" si="1"/>
        <v>246</v>
      </c>
      <c r="M123" s="9">
        <f t="shared" si="2"/>
        <v>246</v>
      </c>
      <c r="N123" s="9">
        <f t="shared" si="3"/>
        <v>246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ht="24.0" customHeight="1">
      <c r="A124" s="6" t="s">
        <v>493</v>
      </c>
      <c r="B124" s="6" t="s">
        <v>329</v>
      </c>
      <c r="C124" s="6" t="s">
        <v>494</v>
      </c>
      <c r="D124" s="6"/>
      <c r="E124" s="6" t="s">
        <v>495</v>
      </c>
      <c r="F124" s="6">
        <v>-58.5679</v>
      </c>
      <c r="G124" s="6">
        <v>-34.5958</v>
      </c>
      <c r="H124" s="9" t="s">
        <v>492</v>
      </c>
      <c r="I124" s="13" t="s">
        <v>19</v>
      </c>
      <c r="J124" s="13" t="s">
        <v>26</v>
      </c>
      <c r="K124" s="7" t="s">
        <v>21</v>
      </c>
      <c r="L124" s="9">
        <f t="shared" si="1"/>
        <v>100</v>
      </c>
      <c r="M124" s="9">
        <f t="shared" si="2"/>
        <v>100</v>
      </c>
      <c r="N124" s="9">
        <f t="shared" si="3"/>
        <v>100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ht="24.0" customHeight="1">
      <c r="A125" s="6" t="s">
        <v>496</v>
      </c>
      <c r="B125" s="6" t="s">
        <v>329</v>
      </c>
      <c r="C125" s="6" t="s">
        <v>497</v>
      </c>
      <c r="D125" s="6"/>
      <c r="E125" s="6" t="s">
        <v>498</v>
      </c>
      <c r="F125" s="6">
        <v>-58.6198</v>
      </c>
      <c r="G125" s="6">
        <v>-34.5652</v>
      </c>
      <c r="H125" s="9" t="s">
        <v>499</v>
      </c>
      <c r="I125" s="13" t="s">
        <v>19</v>
      </c>
      <c r="J125" s="13" t="s">
        <v>20</v>
      </c>
      <c r="K125" s="7" t="s">
        <v>21</v>
      </c>
      <c r="L125" s="9">
        <f t="shared" si="1"/>
        <v>328</v>
      </c>
      <c r="M125" s="9">
        <f t="shared" si="2"/>
        <v>440</v>
      </c>
      <c r="N125" s="9">
        <f t="shared" si="3"/>
        <v>440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ht="24.0" customHeight="1">
      <c r="A126" s="6" t="s">
        <v>500</v>
      </c>
      <c r="B126" s="6" t="s">
        <v>329</v>
      </c>
      <c r="C126" s="6" t="s">
        <v>501</v>
      </c>
      <c r="D126" s="6"/>
      <c r="E126" s="6" t="s">
        <v>502</v>
      </c>
      <c r="F126" s="6">
        <v>-58.5986</v>
      </c>
      <c r="G126" s="6">
        <v>-34.5669</v>
      </c>
      <c r="H126" s="9" t="s">
        <v>503</v>
      </c>
      <c r="I126" s="13" t="s">
        <v>19</v>
      </c>
      <c r="J126" s="13" t="s">
        <v>20</v>
      </c>
      <c r="K126" s="7" t="s">
        <v>21</v>
      </c>
      <c r="L126" s="9">
        <f t="shared" si="1"/>
        <v>420</v>
      </c>
      <c r="M126" s="9">
        <f t="shared" si="2"/>
        <v>600</v>
      </c>
      <c r="N126" s="9">
        <f t="shared" si="3"/>
        <v>780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ht="24.0" customHeight="1">
      <c r="A127" s="6" t="s">
        <v>504</v>
      </c>
      <c r="B127" s="6" t="s">
        <v>329</v>
      </c>
      <c r="C127" s="6" t="s">
        <v>505</v>
      </c>
      <c r="D127" s="6"/>
      <c r="E127" s="6" t="s">
        <v>118</v>
      </c>
      <c r="F127" s="6">
        <v>-58.595</v>
      </c>
      <c r="G127" s="6">
        <v>-34.5883</v>
      </c>
      <c r="H127" s="9" t="s">
        <v>506</v>
      </c>
      <c r="I127" s="13" t="s">
        <v>19</v>
      </c>
      <c r="J127" s="13" t="s">
        <v>20</v>
      </c>
      <c r="K127" s="7" t="s">
        <v>21</v>
      </c>
      <c r="L127" s="9">
        <f t="shared" si="1"/>
        <v>100</v>
      </c>
      <c r="M127" s="9">
        <f t="shared" si="2"/>
        <v>110</v>
      </c>
      <c r="N127" s="9">
        <f t="shared" si="3"/>
        <v>110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ht="24.0" customHeight="1">
      <c r="A128" s="6" t="s">
        <v>507</v>
      </c>
      <c r="B128" s="6" t="s">
        <v>329</v>
      </c>
      <c r="C128" s="6" t="s">
        <v>508</v>
      </c>
      <c r="D128" s="6"/>
      <c r="E128" s="6" t="s">
        <v>122</v>
      </c>
      <c r="F128" s="6">
        <v>-58.5902</v>
      </c>
      <c r="G128" s="6">
        <v>-34.5833</v>
      </c>
      <c r="H128" s="9" t="s">
        <v>506</v>
      </c>
      <c r="I128" s="13" t="s">
        <v>19</v>
      </c>
      <c r="J128" s="13" t="s">
        <v>49</v>
      </c>
      <c r="K128" s="7" t="s">
        <v>21</v>
      </c>
      <c r="L128" s="9">
        <f t="shared" si="1"/>
        <v>100</v>
      </c>
      <c r="M128" s="9">
        <f t="shared" si="2"/>
        <v>124</v>
      </c>
      <c r="N128" s="9">
        <f t="shared" si="3"/>
        <v>124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ht="24.0" customHeight="1">
      <c r="A129" s="6" t="s">
        <v>509</v>
      </c>
      <c r="B129" s="6" t="s">
        <v>329</v>
      </c>
      <c r="C129" s="6" t="s">
        <v>510</v>
      </c>
      <c r="D129" s="6"/>
      <c r="E129" s="6" t="s">
        <v>511</v>
      </c>
      <c r="F129" s="6">
        <v>-58.5855</v>
      </c>
      <c r="G129" s="6">
        <v>-34.581</v>
      </c>
      <c r="H129" s="9" t="s">
        <v>512</v>
      </c>
      <c r="I129" s="13" t="s">
        <v>19</v>
      </c>
      <c r="J129" s="13" t="s">
        <v>26</v>
      </c>
      <c r="K129" s="7" t="s">
        <v>21</v>
      </c>
      <c r="L129" s="9">
        <f t="shared" si="1"/>
        <v>180</v>
      </c>
      <c r="M129" s="9">
        <f t="shared" si="2"/>
        <v>233</v>
      </c>
      <c r="N129" s="9">
        <f t="shared" si="3"/>
        <v>240</v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ht="24.0" customHeight="1">
      <c r="A130" s="6" t="s">
        <v>513</v>
      </c>
      <c r="B130" s="6" t="s">
        <v>329</v>
      </c>
      <c r="C130" s="6" t="s">
        <v>514</v>
      </c>
      <c r="D130" s="6"/>
      <c r="E130" s="6" t="s">
        <v>468</v>
      </c>
      <c r="F130" s="6">
        <v>-58.6157</v>
      </c>
      <c r="G130" s="6">
        <v>-34.5729</v>
      </c>
      <c r="H130" s="9" t="s">
        <v>515</v>
      </c>
      <c r="I130" s="13" t="s">
        <v>19</v>
      </c>
      <c r="J130" s="13" t="s">
        <v>20</v>
      </c>
      <c r="K130" s="7" t="s">
        <v>21</v>
      </c>
      <c r="L130" s="9">
        <f t="shared" si="1"/>
        <v>235</v>
      </c>
      <c r="M130" s="9">
        <f t="shared" si="2"/>
        <v>350</v>
      </c>
      <c r="N130" s="9">
        <f t="shared" si="3"/>
        <v>350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ht="24.0" customHeight="1">
      <c r="A131" s="6" t="s">
        <v>516</v>
      </c>
      <c r="B131" s="6" t="s">
        <v>329</v>
      </c>
      <c r="C131" s="6" t="s">
        <v>517</v>
      </c>
      <c r="D131" s="6"/>
      <c r="E131" s="6" t="s">
        <v>452</v>
      </c>
      <c r="F131" s="6">
        <v>-58.6121</v>
      </c>
      <c r="G131" s="6">
        <v>-34.5663</v>
      </c>
      <c r="H131" s="9" t="s">
        <v>518</v>
      </c>
      <c r="I131" s="13" t="s">
        <v>19</v>
      </c>
      <c r="J131" s="13" t="s">
        <v>44</v>
      </c>
      <c r="K131" s="7" t="s">
        <v>21</v>
      </c>
      <c r="L131" s="9">
        <f t="shared" si="1"/>
        <v>190</v>
      </c>
      <c r="M131" s="9">
        <f t="shared" si="2"/>
        <v>162</v>
      </c>
      <c r="N131" s="9">
        <f t="shared" si="3"/>
        <v>145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ht="24.0" customHeight="1">
      <c r="A132" s="6" t="s">
        <v>516</v>
      </c>
      <c r="B132" s="6" t="s">
        <v>329</v>
      </c>
      <c r="C132" s="6" t="s">
        <v>519</v>
      </c>
      <c r="D132" s="6"/>
      <c r="E132" s="6" t="s">
        <v>472</v>
      </c>
      <c r="F132" s="6">
        <v>-58.6171</v>
      </c>
      <c r="G132" s="6">
        <v>-34.5559</v>
      </c>
      <c r="H132" s="9" t="s">
        <v>520</v>
      </c>
      <c r="I132" s="13" t="s">
        <v>19</v>
      </c>
      <c r="J132" s="13" t="s">
        <v>20</v>
      </c>
      <c r="K132" s="7" t="s">
        <v>21</v>
      </c>
      <c r="L132" s="9">
        <f t="shared" si="1"/>
        <v>240</v>
      </c>
      <c r="M132" s="9">
        <f t="shared" si="2"/>
        <v>256</v>
      </c>
      <c r="N132" s="9">
        <f t="shared" si="3"/>
        <v>240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ht="24.0" customHeight="1">
      <c r="A133" s="6" t="s">
        <v>521</v>
      </c>
      <c r="B133" s="6" t="s">
        <v>329</v>
      </c>
      <c r="C133" s="6" t="s">
        <v>522</v>
      </c>
      <c r="D133" s="6"/>
      <c r="E133" s="6" t="s">
        <v>460</v>
      </c>
      <c r="F133" s="6">
        <v>-58.6206</v>
      </c>
      <c r="G133" s="6">
        <v>-34.5595</v>
      </c>
      <c r="H133" s="9" t="s">
        <v>523</v>
      </c>
      <c r="I133" s="13" t="s">
        <v>19</v>
      </c>
      <c r="J133" s="13" t="s">
        <v>20</v>
      </c>
      <c r="K133" s="7" t="s">
        <v>21</v>
      </c>
      <c r="L133" s="9">
        <f t="shared" si="1"/>
        <v>190</v>
      </c>
      <c r="M133" s="9">
        <f t="shared" si="2"/>
        <v>175</v>
      </c>
      <c r="N133" s="9">
        <f t="shared" si="3"/>
        <v>160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ht="24.0" customHeight="1">
      <c r="A134" s="6" t="s">
        <v>524</v>
      </c>
      <c r="B134" s="6" t="s">
        <v>329</v>
      </c>
      <c r="C134" s="6" t="s">
        <v>525</v>
      </c>
      <c r="D134" s="6"/>
      <c r="E134" s="6" t="s">
        <v>154</v>
      </c>
      <c r="F134" s="6">
        <v>-58.6003</v>
      </c>
      <c r="G134" s="6">
        <v>-34.5765</v>
      </c>
      <c r="H134" s="9" t="s">
        <v>526</v>
      </c>
      <c r="I134" s="13" t="s">
        <v>19</v>
      </c>
      <c r="J134" s="13" t="s">
        <v>20</v>
      </c>
      <c r="K134" s="7" t="s">
        <v>21</v>
      </c>
      <c r="L134" s="9">
        <f t="shared" si="1"/>
        <v>270</v>
      </c>
      <c r="M134" s="9">
        <f t="shared" si="2"/>
        <v>240</v>
      </c>
      <c r="N134" s="9">
        <f t="shared" si="3"/>
        <v>280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ht="24.0" customHeight="1">
      <c r="A135" s="6" t="s">
        <v>527</v>
      </c>
      <c r="B135" s="6" t="s">
        <v>329</v>
      </c>
      <c r="C135" s="6" t="s">
        <v>528</v>
      </c>
      <c r="D135" s="6"/>
      <c r="E135" s="6" t="s">
        <v>529</v>
      </c>
      <c r="F135" s="6">
        <v>-58.6125</v>
      </c>
      <c r="G135" s="6">
        <v>-34.5584</v>
      </c>
      <c r="H135" s="9" t="s">
        <v>530</v>
      </c>
      <c r="I135" s="13" t="s">
        <v>19</v>
      </c>
      <c r="J135" s="13" t="s">
        <v>531</v>
      </c>
      <c r="K135" s="7" t="s">
        <v>21</v>
      </c>
      <c r="L135" s="9">
        <f t="shared" si="1"/>
        <v>830</v>
      </c>
      <c r="M135" s="9">
        <f t="shared" si="2"/>
        <v>759</v>
      </c>
      <c r="N135" s="9">
        <f t="shared" si="3"/>
        <v>759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ht="24.0" customHeight="1">
      <c r="A136" s="6" t="s">
        <v>532</v>
      </c>
      <c r="B136" s="6" t="s">
        <v>216</v>
      </c>
      <c r="C136" s="6" t="s">
        <v>533</v>
      </c>
      <c r="D136" s="6"/>
      <c r="E136" s="6" t="s">
        <v>534</v>
      </c>
      <c r="F136" s="14">
        <v>-58.5364</v>
      </c>
      <c r="G136" s="15">
        <v>-34.6161</v>
      </c>
      <c r="H136" s="9" t="s">
        <v>535</v>
      </c>
      <c r="I136" s="13" t="s">
        <v>536</v>
      </c>
      <c r="J136" s="13"/>
      <c r="K136" s="7" t="s">
        <v>21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ht="24.0" customHeight="1">
      <c r="A137" s="6" t="s">
        <v>537</v>
      </c>
      <c r="B137" s="6" t="s">
        <v>216</v>
      </c>
      <c r="C137" s="6" t="s">
        <v>538</v>
      </c>
      <c r="D137" s="6"/>
      <c r="E137" s="6" t="s">
        <v>539</v>
      </c>
      <c r="F137" s="14">
        <v>-58.5538</v>
      </c>
      <c r="G137" s="15">
        <v>-34.6328</v>
      </c>
      <c r="H137" s="9" t="s">
        <v>540</v>
      </c>
      <c r="I137" s="13" t="s">
        <v>536</v>
      </c>
      <c r="J137" s="13"/>
      <c r="K137" s="7" t="s">
        <v>21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ht="24.0" customHeight="1">
      <c r="A138" s="6" t="s">
        <v>541</v>
      </c>
      <c r="B138" s="6" t="s">
        <v>216</v>
      </c>
      <c r="C138" s="6" t="s">
        <v>542</v>
      </c>
      <c r="D138" s="6"/>
      <c r="E138" s="6" t="s">
        <v>543</v>
      </c>
      <c r="F138" s="14">
        <v>-58.5727</v>
      </c>
      <c r="G138" s="15">
        <v>-34.617</v>
      </c>
      <c r="H138" s="9" t="s">
        <v>544</v>
      </c>
      <c r="I138" s="13" t="s">
        <v>536</v>
      </c>
      <c r="J138" s="13"/>
      <c r="K138" s="7" t="s">
        <v>21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ht="24.0" customHeight="1">
      <c r="A139" s="6" t="s">
        <v>545</v>
      </c>
      <c r="B139" s="6" t="s">
        <v>216</v>
      </c>
      <c r="C139" s="6" t="s">
        <v>546</v>
      </c>
      <c r="D139" s="6"/>
      <c r="E139" s="6" t="s">
        <v>547</v>
      </c>
      <c r="F139" s="14">
        <v>-58.545</v>
      </c>
      <c r="G139" s="15">
        <v>-34.6225</v>
      </c>
      <c r="H139" s="9" t="s">
        <v>548</v>
      </c>
      <c r="I139" s="13" t="s">
        <v>536</v>
      </c>
      <c r="J139" s="13"/>
      <c r="K139" s="7" t="s">
        <v>21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ht="24.0" customHeight="1">
      <c r="A140" s="6" t="s">
        <v>549</v>
      </c>
      <c r="B140" s="6" t="s">
        <v>216</v>
      </c>
      <c r="C140" s="6" t="s">
        <v>550</v>
      </c>
      <c r="D140" s="6"/>
      <c r="E140" s="6" t="s">
        <v>551</v>
      </c>
      <c r="F140" s="14">
        <v>-58.5596</v>
      </c>
      <c r="G140" s="15">
        <v>-34.5979</v>
      </c>
      <c r="H140" s="9" t="s">
        <v>552</v>
      </c>
      <c r="I140" s="13" t="s">
        <v>536</v>
      </c>
      <c r="J140" s="13"/>
      <c r="K140" s="7" t="s">
        <v>21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ht="24.0" customHeight="1">
      <c r="A141" s="6" t="s">
        <v>553</v>
      </c>
      <c r="B141" s="6" t="s">
        <v>216</v>
      </c>
      <c r="C141" s="6" t="s">
        <v>554</v>
      </c>
      <c r="D141" s="6"/>
      <c r="E141" s="6" t="s">
        <v>555</v>
      </c>
      <c r="F141" s="14">
        <v>-58.5725</v>
      </c>
      <c r="G141" s="15">
        <v>-34.6262</v>
      </c>
      <c r="H141" s="9" t="s">
        <v>556</v>
      </c>
      <c r="I141" s="13" t="s">
        <v>536</v>
      </c>
      <c r="J141" s="13"/>
      <c r="K141" s="7" t="s">
        <v>21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ht="24.0" customHeight="1">
      <c r="A142" s="6" t="s">
        <v>557</v>
      </c>
      <c r="B142" s="6" t="s">
        <v>216</v>
      </c>
      <c r="C142" s="6" t="s">
        <v>558</v>
      </c>
      <c r="D142" s="6"/>
      <c r="E142" s="6" t="s">
        <v>559</v>
      </c>
      <c r="F142" s="14">
        <v>-58.5725</v>
      </c>
      <c r="G142" s="15">
        <v>-34.6191</v>
      </c>
      <c r="H142" s="9" t="s">
        <v>560</v>
      </c>
      <c r="I142" s="13" t="s">
        <v>536</v>
      </c>
      <c r="J142" s="13"/>
      <c r="K142" s="7" t="s">
        <v>21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ht="24.0" customHeight="1">
      <c r="A143" s="6" t="s">
        <v>561</v>
      </c>
      <c r="B143" s="6" t="s">
        <v>216</v>
      </c>
      <c r="C143" s="6" t="s">
        <v>562</v>
      </c>
      <c r="D143" s="6"/>
      <c r="E143" s="6" t="s">
        <v>150</v>
      </c>
      <c r="F143" s="14">
        <v>-58.5425</v>
      </c>
      <c r="G143" s="15">
        <v>-34.6386</v>
      </c>
      <c r="H143" s="9" t="s">
        <v>563</v>
      </c>
      <c r="I143" s="13" t="s">
        <v>536</v>
      </c>
      <c r="J143" s="13"/>
      <c r="K143" s="7" t="s">
        <v>21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ht="24.0" customHeight="1">
      <c r="A144" s="6" t="s">
        <v>564</v>
      </c>
      <c r="B144" s="6" t="s">
        <v>216</v>
      </c>
      <c r="C144" s="6" t="s">
        <v>565</v>
      </c>
      <c r="D144" s="6"/>
      <c r="E144" s="6" t="s">
        <v>566</v>
      </c>
      <c r="F144" s="14">
        <v>-58.6176</v>
      </c>
      <c r="G144" s="15">
        <v>-34.5621</v>
      </c>
      <c r="H144" s="9" t="s">
        <v>567</v>
      </c>
      <c r="I144" s="13" t="s">
        <v>536</v>
      </c>
      <c r="J144" s="13"/>
      <c r="K144" s="7" t="s">
        <v>21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ht="24.0" customHeight="1">
      <c r="A145" s="6" t="s">
        <v>568</v>
      </c>
      <c r="B145" s="6" t="s">
        <v>216</v>
      </c>
      <c r="C145" s="6" t="s">
        <v>569</v>
      </c>
      <c r="D145" s="6"/>
      <c r="E145" s="6" t="s">
        <v>570</v>
      </c>
      <c r="F145" s="14">
        <v>-58.547</v>
      </c>
      <c r="G145" s="15">
        <v>-34.6143</v>
      </c>
      <c r="H145" s="9" t="s">
        <v>571</v>
      </c>
      <c r="I145" s="13" t="s">
        <v>536</v>
      </c>
      <c r="J145" s="13"/>
      <c r="K145" s="7" t="s">
        <v>21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ht="24.0" customHeight="1">
      <c r="A146" s="6" t="s">
        <v>572</v>
      </c>
      <c r="B146" s="6" t="s">
        <v>216</v>
      </c>
      <c r="C146" s="6" t="s">
        <v>573</v>
      </c>
      <c r="D146" s="6"/>
      <c r="E146" s="6" t="s">
        <v>574</v>
      </c>
      <c r="F146" s="14">
        <v>-58.6124</v>
      </c>
      <c r="G146" s="15">
        <v>-34.5552</v>
      </c>
      <c r="H146" s="9" t="s">
        <v>575</v>
      </c>
      <c r="I146" s="13" t="s">
        <v>536</v>
      </c>
      <c r="J146" s="13"/>
      <c r="K146" s="7" t="s">
        <v>21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ht="24.0" customHeight="1">
      <c r="A147" s="6" t="s">
        <v>576</v>
      </c>
      <c r="B147" s="6" t="s">
        <v>216</v>
      </c>
      <c r="C147" s="6" t="s">
        <v>577</v>
      </c>
      <c r="D147" s="6"/>
      <c r="E147" s="6" t="s">
        <v>578</v>
      </c>
      <c r="F147" s="14">
        <v>-58.612</v>
      </c>
      <c r="G147" s="15">
        <v>-34.559</v>
      </c>
      <c r="H147" s="9" t="s">
        <v>579</v>
      </c>
      <c r="I147" s="13" t="s">
        <v>536</v>
      </c>
      <c r="J147" s="13"/>
      <c r="K147" s="7" t="s">
        <v>21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ht="24.0" customHeight="1">
      <c r="A148" s="6" t="s">
        <v>580</v>
      </c>
      <c r="B148" s="6" t="s">
        <v>216</v>
      </c>
      <c r="C148" s="6" t="s">
        <v>581</v>
      </c>
      <c r="D148" s="6"/>
      <c r="E148" s="6" t="s">
        <v>582</v>
      </c>
      <c r="F148" s="14">
        <v>-58.6095</v>
      </c>
      <c r="G148" s="15">
        <v>-34.5777</v>
      </c>
      <c r="H148" s="9" t="s">
        <v>583</v>
      </c>
      <c r="I148" s="13" t="s">
        <v>536</v>
      </c>
      <c r="J148" s="13"/>
      <c r="K148" s="7" t="s">
        <v>21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ht="24.0" customHeight="1">
      <c r="A149" s="6" t="s">
        <v>584</v>
      </c>
      <c r="B149" s="6" t="s">
        <v>216</v>
      </c>
      <c r="C149" s="6" t="s">
        <v>585</v>
      </c>
      <c r="D149" s="6"/>
      <c r="E149" s="6" t="s">
        <v>586</v>
      </c>
      <c r="F149" s="14">
        <v>-58.5878</v>
      </c>
      <c r="G149" s="15">
        <v>-34.5713</v>
      </c>
      <c r="H149" s="9" t="s">
        <v>587</v>
      </c>
      <c r="I149" s="13" t="s">
        <v>536</v>
      </c>
      <c r="J149" s="13"/>
      <c r="K149" s="7" t="s">
        <v>21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ht="24.0" customHeight="1">
      <c r="A150" s="6" t="s">
        <v>588</v>
      </c>
      <c r="B150" s="6" t="s">
        <v>216</v>
      </c>
      <c r="C150" s="6" t="s">
        <v>589</v>
      </c>
      <c r="D150" s="6"/>
      <c r="E150" s="6" t="s">
        <v>590</v>
      </c>
      <c r="F150" s="14">
        <v>-58.5368</v>
      </c>
      <c r="G150" s="15">
        <v>-34.6453</v>
      </c>
      <c r="H150" s="9" t="s">
        <v>591</v>
      </c>
      <c r="I150" s="13" t="s">
        <v>536</v>
      </c>
      <c r="J150" s="13"/>
      <c r="K150" s="7" t="s">
        <v>21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ht="24.0" customHeight="1">
      <c r="A151" s="6" t="s">
        <v>592</v>
      </c>
      <c r="B151" s="6" t="s">
        <v>216</v>
      </c>
      <c r="C151" s="6" t="s">
        <v>593</v>
      </c>
      <c r="D151" s="6"/>
      <c r="E151" s="6" t="s">
        <v>594</v>
      </c>
      <c r="F151" s="14">
        <v>-58.5742</v>
      </c>
      <c r="G151" s="15">
        <v>-34.5947</v>
      </c>
      <c r="H151" s="9" t="s">
        <v>595</v>
      </c>
      <c r="I151" s="13" t="s">
        <v>536</v>
      </c>
      <c r="J151" s="13"/>
      <c r="K151" s="7" t="s">
        <v>21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ht="24.0" customHeight="1">
      <c r="A152" s="6" t="s">
        <v>596</v>
      </c>
      <c r="B152" s="6" t="s">
        <v>216</v>
      </c>
      <c r="C152" s="6" t="s">
        <v>597</v>
      </c>
      <c r="D152" s="6"/>
      <c r="E152" s="6" t="s">
        <v>598</v>
      </c>
      <c r="F152" s="14">
        <v>-58.5712</v>
      </c>
      <c r="G152" s="15">
        <v>-34.5999</v>
      </c>
      <c r="H152" s="9" t="s">
        <v>599</v>
      </c>
      <c r="I152" s="13" t="s">
        <v>536</v>
      </c>
      <c r="J152" s="13"/>
      <c r="K152" s="7" t="s">
        <v>21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ht="24.0" customHeight="1">
      <c r="A153" s="6" t="s">
        <v>600</v>
      </c>
      <c r="B153" s="6" t="s">
        <v>216</v>
      </c>
      <c r="C153" s="6" t="s">
        <v>601</v>
      </c>
      <c r="D153" s="6"/>
      <c r="E153" s="6" t="s">
        <v>602</v>
      </c>
      <c r="F153" s="14">
        <v>-58.5357</v>
      </c>
      <c r="G153" s="15">
        <v>-34.6258</v>
      </c>
      <c r="H153" s="9" t="s">
        <v>603</v>
      </c>
      <c r="I153" s="13" t="s">
        <v>536</v>
      </c>
      <c r="J153" s="13"/>
      <c r="K153" s="7" t="s">
        <v>21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ht="24.0" customHeight="1">
      <c r="A154" s="6" t="s">
        <v>604</v>
      </c>
      <c r="B154" s="6" t="s">
        <v>216</v>
      </c>
      <c r="C154" s="6" t="s">
        <v>605</v>
      </c>
      <c r="D154" s="6"/>
      <c r="E154" s="6" t="s">
        <v>606</v>
      </c>
      <c r="F154" s="14">
        <v>-58.5374</v>
      </c>
      <c r="G154" s="15">
        <v>-34.5988</v>
      </c>
      <c r="H154" s="9" t="s">
        <v>607</v>
      </c>
      <c r="I154" s="13" t="s">
        <v>536</v>
      </c>
      <c r="J154" s="13"/>
      <c r="K154" s="7" t="s">
        <v>21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ht="24.0" customHeight="1">
      <c r="A155" s="6" t="s">
        <v>608</v>
      </c>
      <c r="B155" s="6" t="s">
        <v>216</v>
      </c>
      <c r="C155" s="6" t="s">
        <v>609</v>
      </c>
      <c r="D155" s="6"/>
      <c r="E155" s="6" t="s">
        <v>610</v>
      </c>
      <c r="F155" s="14">
        <v>-58.5494</v>
      </c>
      <c r="G155" s="15">
        <v>-34.6095</v>
      </c>
      <c r="H155" s="9" t="s">
        <v>611</v>
      </c>
      <c r="I155" s="13" t="s">
        <v>536</v>
      </c>
      <c r="J155" s="13"/>
      <c r="K155" s="7" t="s">
        <v>21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ht="24.0" customHeight="1">
      <c r="A156" s="6" t="s">
        <v>612</v>
      </c>
      <c r="B156" s="6" t="s">
        <v>216</v>
      </c>
      <c r="C156" s="6" t="s">
        <v>613</v>
      </c>
      <c r="D156" s="6"/>
      <c r="E156" s="6" t="s">
        <v>162</v>
      </c>
      <c r="F156" s="14">
        <v>-58.5329</v>
      </c>
      <c r="G156" s="15">
        <v>-34.642</v>
      </c>
      <c r="H156" s="9" t="s">
        <v>614</v>
      </c>
      <c r="I156" s="13" t="s">
        <v>536</v>
      </c>
      <c r="J156" s="13"/>
      <c r="K156" s="7" t="s">
        <v>21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ht="24.0" customHeight="1">
      <c r="A157" s="6" t="s">
        <v>615</v>
      </c>
      <c r="B157" s="6" t="s">
        <v>216</v>
      </c>
      <c r="C157" s="6" t="s">
        <v>616</v>
      </c>
      <c r="D157" s="6"/>
      <c r="E157" s="6" t="s">
        <v>617</v>
      </c>
      <c r="F157" s="14">
        <v>-58.5617</v>
      </c>
      <c r="G157" s="15">
        <v>-34.6277</v>
      </c>
      <c r="H157" s="9" t="s">
        <v>618</v>
      </c>
      <c r="I157" s="13" t="s">
        <v>536</v>
      </c>
      <c r="J157" s="13"/>
      <c r="K157" s="7" t="s">
        <v>21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ht="24.0" customHeight="1">
      <c r="A158" s="6" t="s">
        <v>619</v>
      </c>
      <c r="B158" s="6" t="s">
        <v>216</v>
      </c>
      <c r="C158" s="6" t="s">
        <v>620</v>
      </c>
      <c r="D158" s="6"/>
      <c r="E158" s="6" t="s">
        <v>621</v>
      </c>
      <c r="F158" s="14">
        <v>-58.6041</v>
      </c>
      <c r="G158" s="15">
        <v>-34.5801</v>
      </c>
      <c r="H158" s="9" t="s">
        <v>622</v>
      </c>
      <c r="I158" s="13" t="s">
        <v>536</v>
      </c>
      <c r="J158" s="13"/>
      <c r="K158" s="7" t="s">
        <v>21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ht="24.0" customHeight="1">
      <c r="A159" s="6" t="s">
        <v>623</v>
      </c>
      <c r="B159" s="6" t="s">
        <v>216</v>
      </c>
      <c r="C159" s="6" t="s">
        <v>624</v>
      </c>
      <c r="D159" s="6"/>
      <c r="E159" s="6" t="s">
        <v>625</v>
      </c>
      <c r="F159" s="16">
        <v>-58.5644</v>
      </c>
      <c r="G159" s="17">
        <v>-34.5909</v>
      </c>
      <c r="H159" s="9" t="s">
        <v>626</v>
      </c>
      <c r="I159" s="13" t="s">
        <v>536</v>
      </c>
      <c r="J159" s="13"/>
      <c r="K159" s="7" t="s">
        <v>21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ht="24.0" customHeight="1">
      <c r="A160" s="6" t="s">
        <v>627</v>
      </c>
      <c r="B160" s="6" t="s">
        <v>216</v>
      </c>
      <c r="C160" s="6" t="s">
        <v>628</v>
      </c>
      <c r="D160" s="6"/>
      <c r="E160" s="6" t="s">
        <v>629</v>
      </c>
      <c r="F160" s="16">
        <v>-58.5416</v>
      </c>
      <c r="G160" s="17">
        <v>-34.6213</v>
      </c>
      <c r="H160" s="9" t="s">
        <v>630</v>
      </c>
      <c r="I160" s="13" t="s">
        <v>536</v>
      </c>
      <c r="J160" s="13"/>
      <c r="K160" s="7" t="s">
        <v>21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24.0" customHeight="1">
      <c r="A161" s="6" t="s">
        <v>631</v>
      </c>
      <c r="B161" s="6" t="s">
        <v>216</v>
      </c>
      <c r="C161" s="6" t="s">
        <v>632</v>
      </c>
      <c r="D161" s="6"/>
      <c r="E161" s="6" t="s">
        <v>633</v>
      </c>
      <c r="F161" s="16">
        <v>-58.6193</v>
      </c>
      <c r="G161" s="17">
        <v>-34.5696</v>
      </c>
      <c r="H161" s="9" t="s">
        <v>634</v>
      </c>
      <c r="I161" s="13" t="s">
        <v>536</v>
      </c>
      <c r="J161" s="13"/>
      <c r="K161" s="7" t="s">
        <v>21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24.0" customHeight="1">
      <c r="A162" s="6" t="s">
        <v>635</v>
      </c>
      <c r="B162" s="6" t="s">
        <v>216</v>
      </c>
      <c r="C162" s="6" t="s">
        <v>636</v>
      </c>
      <c r="D162" s="6"/>
      <c r="E162" s="6" t="s">
        <v>637</v>
      </c>
      <c r="F162" s="16">
        <v>-58.5654</v>
      </c>
      <c r="G162" s="17">
        <v>-34.6037</v>
      </c>
      <c r="H162" s="9" t="s">
        <v>638</v>
      </c>
      <c r="I162" s="13" t="s">
        <v>536</v>
      </c>
      <c r="J162" s="13"/>
      <c r="K162" s="7" t="s">
        <v>21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24.0" customHeight="1">
      <c r="A163" s="6"/>
      <c r="B163" s="6" t="s">
        <v>639</v>
      </c>
      <c r="C163" s="6" t="s">
        <v>640</v>
      </c>
      <c r="D163" s="6"/>
      <c r="E163" s="6" t="s">
        <v>641</v>
      </c>
      <c r="F163" s="18">
        <v>-58.6129</v>
      </c>
      <c r="G163" s="19">
        <v>-34.5552</v>
      </c>
      <c r="H163" s="9" t="s">
        <v>642</v>
      </c>
      <c r="I163" s="13" t="s">
        <v>536</v>
      </c>
      <c r="J163" s="13"/>
      <c r="K163" s="7" t="s">
        <v>21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24.0" customHeight="1">
      <c r="A164" s="6"/>
      <c r="B164" s="6" t="s">
        <v>639</v>
      </c>
      <c r="C164" s="6" t="s">
        <v>643</v>
      </c>
      <c r="D164" s="6"/>
      <c r="E164" s="6" t="s">
        <v>644</v>
      </c>
      <c r="F164" s="18">
        <v>-58.53981</v>
      </c>
      <c r="G164" s="20">
        <v>-34.6193</v>
      </c>
      <c r="H164" s="9" t="s">
        <v>645</v>
      </c>
      <c r="I164" s="13" t="s">
        <v>536</v>
      </c>
      <c r="J164" s="13"/>
      <c r="K164" s="7" t="s">
        <v>21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24.0" customHeight="1">
      <c r="A165" s="6"/>
      <c r="B165" s="6" t="s">
        <v>639</v>
      </c>
      <c r="C165" s="6" t="s">
        <v>646</v>
      </c>
      <c r="D165" s="6"/>
      <c r="E165" s="6" t="s">
        <v>647</v>
      </c>
      <c r="F165" s="6">
        <v>-58.5597</v>
      </c>
      <c r="G165" s="19">
        <v>-34.6159</v>
      </c>
      <c r="H165" s="9" t="s">
        <v>648</v>
      </c>
      <c r="I165" s="13" t="s">
        <v>536</v>
      </c>
      <c r="J165" s="13"/>
      <c r="K165" s="7" t="s">
        <v>21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24.0" customHeight="1">
      <c r="A166" s="6"/>
      <c r="B166" s="6" t="s">
        <v>639</v>
      </c>
      <c r="C166" s="6" t="s">
        <v>649</v>
      </c>
      <c r="D166" s="6"/>
      <c r="E166" s="6" t="s">
        <v>650</v>
      </c>
      <c r="F166" s="18">
        <v>-58.6156</v>
      </c>
      <c r="G166" s="19">
        <v>-34.56122</v>
      </c>
      <c r="H166" s="9" t="s">
        <v>651</v>
      </c>
      <c r="I166" s="13" t="s">
        <v>536</v>
      </c>
      <c r="J166" s="13"/>
      <c r="K166" s="7" t="s">
        <v>21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24.0" customHeight="1">
      <c r="A167" s="6"/>
      <c r="B167" s="6" t="s">
        <v>639</v>
      </c>
      <c r="C167" s="6" t="s">
        <v>652</v>
      </c>
      <c r="D167" s="6"/>
      <c r="E167" s="6" t="s">
        <v>265</v>
      </c>
      <c r="F167" s="21">
        <v>-58.5376</v>
      </c>
      <c r="G167" s="19">
        <v>-34.6218</v>
      </c>
      <c r="H167" s="9" t="s">
        <v>651</v>
      </c>
      <c r="I167" s="13" t="s">
        <v>536</v>
      </c>
      <c r="J167" s="13"/>
      <c r="K167" s="7" t="s">
        <v>21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24.0" customHeight="1">
      <c r="A168" s="6"/>
      <c r="B168" s="6" t="s">
        <v>639</v>
      </c>
      <c r="C168" s="6" t="s">
        <v>653</v>
      </c>
      <c r="D168" s="6"/>
      <c r="E168" s="6" t="s">
        <v>654</v>
      </c>
      <c r="F168" s="18">
        <v>-58.56015</v>
      </c>
      <c r="G168" s="19">
        <v>-34.616</v>
      </c>
      <c r="H168" s="9" t="s">
        <v>651</v>
      </c>
      <c r="I168" s="13" t="s">
        <v>536</v>
      </c>
      <c r="J168" s="13"/>
      <c r="K168" s="7" t="s">
        <v>21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24.0" customHeight="1">
      <c r="A169" s="6"/>
      <c r="B169" s="6" t="s">
        <v>639</v>
      </c>
      <c r="C169" s="6" t="s">
        <v>655</v>
      </c>
      <c r="D169" s="6"/>
      <c r="E169" s="6" t="s">
        <v>656</v>
      </c>
      <c r="F169" s="18">
        <v>-58.6178</v>
      </c>
      <c r="G169" s="19">
        <v>-34.5525</v>
      </c>
      <c r="H169" s="9" t="s">
        <v>657</v>
      </c>
      <c r="I169" s="13" t="s">
        <v>536</v>
      </c>
      <c r="J169" s="13"/>
      <c r="K169" s="7" t="s">
        <v>21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24.0" customHeight="1">
      <c r="A170" s="6"/>
      <c r="B170" s="6" t="s">
        <v>639</v>
      </c>
      <c r="C170" s="6" t="s">
        <v>658</v>
      </c>
      <c r="D170" s="6"/>
      <c r="E170" s="6" t="s">
        <v>659</v>
      </c>
      <c r="F170" s="18">
        <v>-58.5472</v>
      </c>
      <c r="G170" s="19">
        <v>-34.6193</v>
      </c>
      <c r="H170" s="9" t="s">
        <v>660</v>
      </c>
      <c r="I170" s="13" t="s">
        <v>536</v>
      </c>
      <c r="J170" s="13"/>
      <c r="K170" s="7" t="s">
        <v>21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ht="24.0" customHeight="1">
      <c r="A171" s="6"/>
      <c r="B171" s="6" t="s">
        <v>639</v>
      </c>
      <c r="C171" s="6" t="s">
        <v>661</v>
      </c>
      <c r="D171" s="6"/>
      <c r="E171" s="6" t="s">
        <v>662</v>
      </c>
      <c r="F171" s="18">
        <v>-58.5556</v>
      </c>
      <c r="G171" s="19">
        <v>-34.61707</v>
      </c>
      <c r="H171" s="9" t="s">
        <v>663</v>
      </c>
      <c r="I171" s="13" t="s">
        <v>536</v>
      </c>
      <c r="J171" s="13"/>
      <c r="K171" s="7" t="s">
        <v>21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24.0" customHeight="1">
      <c r="A172" s="6"/>
      <c r="B172" s="6" t="s">
        <v>639</v>
      </c>
      <c r="C172" s="6" t="s">
        <v>664</v>
      </c>
      <c r="D172" s="6"/>
      <c r="E172" s="6" t="s">
        <v>665</v>
      </c>
      <c r="F172" s="18">
        <v>-58.588</v>
      </c>
      <c r="G172" s="19">
        <v>-34.58346</v>
      </c>
      <c r="H172" s="9" t="s">
        <v>666</v>
      </c>
      <c r="I172" s="13" t="s">
        <v>536</v>
      </c>
      <c r="J172" s="13"/>
      <c r="K172" s="7" t="s">
        <v>21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24.0" customHeight="1">
      <c r="A173" s="6" t="s">
        <v>667</v>
      </c>
      <c r="B173" s="6" t="s">
        <v>668</v>
      </c>
      <c r="C173" s="6" t="s">
        <v>669</v>
      </c>
      <c r="D173" s="6"/>
      <c r="E173" s="6" t="s">
        <v>178</v>
      </c>
      <c r="F173" s="18">
        <v>-58.5619</v>
      </c>
      <c r="G173" s="19">
        <v>-34.606</v>
      </c>
      <c r="H173" s="22"/>
      <c r="I173" s="13" t="s">
        <v>19</v>
      </c>
      <c r="J173" s="13"/>
      <c r="K173" s="7" t="s">
        <v>21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24.0" customHeight="1">
      <c r="A174" s="6" t="s">
        <v>670</v>
      </c>
      <c r="B174" s="6" t="s">
        <v>668</v>
      </c>
      <c r="C174" s="6" t="s">
        <v>671</v>
      </c>
      <c r="D174" s="6"/>
      <c r="E174" s="6" t="s">
        <v>460</v>
      </c>
      <c r="F174" s="18">
        <v>-58.6203</v>
      </c>
      <c r="G174" s="19">
        <v>-34.5592</v>
      </c>
      <c r="H174" s="9"/>
      <c r="I174" s="13" t="s">
        <v>19</v>
      </c>
      <c r="J174" s="13"/>
      <c r="K174" s="7" t="s">
        <v>21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24.0" customHeight="1">
      <c r="A175" s="6" t="s">
        <v>672</v>
      </c>
      <c r="B175" s="6" t="s">
        <v>668</v>
      </c>
      <c r="C175" s="6" t="s">
        <v>673</v>
      </c>
      <c r="D175" s="6"/>
      <c r="E175" s="6" t="s">
        <v>198</v>
      </c>
      <c r="F175" s="18">
        <v>-58.5375</v>
      </c>
      <c r="G175" s="19">
        <v>-34.6236</v>
      </c>
      <c r="H175" s="9"/>
      <c r="I175" s="13" t="s">
        <v>19</v>
      </c>
      <c r="J175" s="13"/>
      <c r="K175" s="7" t="s">
        <v>21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24.0" customHeight="1">
      <c r="A176" s="6" t="s">
        <v>674</v>
      </c>
      <c r="B176" s="6" t="s">
        <v>668</v>
      </c>
      <c r="C176" s="6" t="s">
        <v>675</v>
      </c>
      <c r="D176" s="6"/>
      <c r="E176" s="6" t="s">
        <v>205</v>
      </c>
      <c r="F176" s="18">
        <v>-58.6003</v>
      </c>
      <c r="G176" s="19">
        <v>-34.5823</v>
      </c>
      <c r="H176" s="9"/>
      <c r="I176" s="13" t="s">
        <v>19</v>
      </c>
      <c r="J176" s="13"/>
      <c r="K176" s="7" t="s">
        <v>21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24.0" customHeight="1">
      <c r="A177" s="6" t="s">
        <v>676</v>
      </c>
      <c r="B177" s="6" t="s">
        <v>668</v>
      </c>
      <c r="C177" s="6" t="s">
        <v>677</v>
      </c>
      <c r="D177" s="6"/>
      <c r="E177" s="6" t="s">
        <v>468</v>
      </c>
      <c r="F177" s="6">
        <v>-58.6157</v>
      </c>
      <c r="G177" s="23">
        <v>-34.5729</v>
      </c>
      <c r="H177" s="9"/>
      <c r="I177" s="13" t="s">
        <v>19</v>
      </c>
      <c r="J177" s="13"/>
      <c r="K177" s="7" t="s">
        <v>21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24.0" customHeight="1">
      <c r="A178" s="6" t="s">
        <v>678</v>
      </c>
      <c r="B178" s="6" t="s">
        <v>668</v>
      </c>
      <c r="C178" s="6" t="s">
        <v>679</v>
      </c>
      <c r="D178" s="6"/>
      <c r="E178" s="6" t="s">
        <v>65</v>
      </c>
      <c r="F178" s="6">
        <v>-58.544</v>
      </c>
      <c r="G178" s="23">
        <v>-34.6036</v>
      </c>
      <c r="H178" s="9"/>
      <c r="I178" s="13" t="s">
        <v>19</v>
      </c>
      <c r="J178" s="13"/>
      <c r="K178" s="7" t="s">
        <v>21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24.0" customHeight="1">
      <c r="A179" s="6" t="s">
        <v>680</v>
      </c>
      <c r="B179" s="6" t="s">
        <v>668</v>
      </c>
      <c r="C179" s="6" t="s">
        <v>681</v>
      </c>
      <c r="D179" s="6"/>
      <c r="E179" s="6" t="s">
        <v>468</v>
      </c>
      <c r="F179" s="6">
        <v>-58.6157</v>
      </c>
      <c r="G179" s="23">
        <v>-34.5729</v>
      </c>
      <c r="H179" s="9"/>
      <c r="I179" s="13" t="s">
        <v>19</v>
      </c>
      <c r="J179" s="13"/>
      <c r="K179" s="7" t="s">
        <v>21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24.0" customHeight="1">
      <c r="A180" s="6" t="s">
        <v>682</v>
      </c>
      <c r="B180" s="6" t="s">
        <v>668</v>
      </c>
      <c r="C180" s="6" t="s">
        <v>683</v>
      </c>
      <c r="D180" s="6"/>
      <c r="E180" s="6" t="s">
        <v>42</v>
      </c>
      <c r="F180" s="6">
        <v>-58.5664</v>
      </c>
      <c r="G180" s="23">
        <v>-34.6014</v>
      </c>
      <c r="H180" s="9"/>
      <c r="I180" s="13" t="s">
        <v>19</v>
      </c>
      <c r="J180" s="13"/>
      <c r="K180" s="7" t="s">
        <v>21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24.0" customHeight="1">
      <c r="A181" s="6" t="s">
        <v>684</v>
      </c>
      <c r="B181" s="6" t="s">
        <v>668</v>
      </c>
      <c r="C181" s="6" t="s">
        <v>685</v>
      </c>
      <c r="D181" s="6"/>
      <c r="E181" s="6" t="s">
        <v>142</v>
      </c>
      <c r="F181" s="6">
        <v>-58.5352</v>
      </c>
      <c r="G181" s="23">
        <v>-34.6324</v>
      </c>
      <c r="H181" s="9"/>
      <c r="I181" s="13" t="s">
        <v>19</v>
      </c>
      <c r="J181" s="13"/>
      <c r="K181" s="7" t="s">
        <v>21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24.0" customHeight="1">
      <c r="A182" s="6" t="s">
        <v>686</v>
      </c>
      <c r="B182" s="6" t="s">
        <v>668</v>
      </c>
      <c r="C182" s="6" t="s">
        <v>687</v>
      </c>
      <c r="D182" s="6"/>
      <c r="E182" s="6" t="s">
        <v>126</v>
      </c>
      <c r="F182" s="6">
        <v>-58.5335</v>
      </c>
      <c r="G182" s="23">
        <v>-34.6187</v>
      </c>
      <c r="H182" s="9"/>
      <c r="I182" s="13" t="s">
        <v>19</v>
      </c>
      <c r="J182" s="13"/>
      <c r="K182" s="7" t="s">
        <v>21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24.0" customHeight="1">
      <c r="A183" s="6" t="s">
        <v>688</v>
      </c>
      <c r="B183" s="6" t="s">
        <v>668</v>
      </c>
      <c r="C183" s="6" t="s">
        <v>689</v>
      </c>
      <c r="D183" s="6"/>
      <c r="E183" s="6" t="s">
        <v>90</v>
      </c>
      <c r="F183" s="6">
        <v>-58.5426</v>
      </c>
      <c r="G183" s="23">
        <v>-34.6242</v>
      </c>
      <c r="H183" s="9"/>
      <c r="I183" s="13" t="s">
        <v>19</v>
      </c>
      <c r="J183" s="13"/>
      <c r="K183" s="7" t="s">
        <v>21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24.0" customHeight="1">
      <c r="A184" s="6" t="s">
        <v>690</v>
      </c>
      <c r="B184" s="6" t="s">
        <v>668</v>
      </c>
      <c r="C184" s="6" t="s">
        <v>691</v>
      </c>
      <c r="D184" s="6"/>
      <c r="E184" s="6" t="s">
        <v>353</v>
      </c>
      <c r="F184" s="6">
        <v>-58.5574</v>
      </c>
      <c r="G184" s="23">
        <v>-34.6055</v>
      </c>
      <c r="H184" s="9"/>
      <c r="I184" s="13" t="s">
        <v>19</v>
      </c>
      <c r="J184" s="13"/>
      <c r="K184" s="7" t="s">
        <v>21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24.0" customHeight="1">
      <c r="A185" s="6" t="s">
        <v>692</v>
      </c>
      <c r="B185" s="6" t="s">
        <v>668</v>
      </c>
      <c r="C185" s="6" t="s">
        <v>693</v>
      </c>
      <c r="D185" s="11"/>
      <c r="E185" s="11" t="s">
        <v>94</v>
      </c>
      <c r="F185" s="11">
        <v>-58.5519</v>
      </c>
      <c r="G185" s="24">
        <v>-34.5937</v>
      </c>
      <c r="H185" s="9"/>
      <c r="I185" s="13" t="s">
        <v>19</v>
      </c>
      <c r="J185" s="13"/>
      <c r="K185" s="7" t="s">
        <v>21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24.0" customHeight="1">
      <c r="A186" s="6" t="s">
        <v>694</v>
      </c>
      <c r="B186" s="6" t="s">
        <v>668</v>
      </c>
      <c r="C186" s="6" t="s">
        <v>695</v>
      </c>
      <c r="D186" s="9"/>
      <c r="E186" s="9" t="s">
        <v>186</v>
      </c>
      <c r="F186" s="9">
        <v>-58.5552</v>
      </c>
      <c r="G186" s="25">
        <v>-34.6182</v>
      </c>
      <c r="H186" s="9"/>
      <c r="I186" s="13" t="s">
        <v>19</v>
      </c>
      <c r="J186" s="13"/>
      <c r="K186" s="7" t="s">
        <v>21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24.0" customHeight="1">
      <c r="A187" s="6"/>
      <c r="B187" s="6" t="s">
        <v>15</v>
      </c>
      <c r="C187" s="6" t="s">
        <v>696</v>
      </c>
      <c r="D187" s="9"/>
      <c r="E187" s="13" t="s">
        <v>697</v>
      </c>
      <c r="F187" s="9"/>
      <c r="G187" s="25"/>
      <c r="H187" s="9"/>
      <c r="I187" s="13" t="s">
        <v>536</v>
      </c>
      <c r="J187" s="13"/>
      <c r="K187" s="13"/>
      <c r="L187" s="9"/>
      <c r="M187" s="9"/>
      <c r="N187" s="9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24.0" customHeight="1">
      <c r="A188" s="6"/>
      <c r="B188" s="6" t="s">
        <v>15</v>
      </c>
      <c r="C188" s="6" t="s">
        <v>698</v>
      </c>
      <c r="D188" s="9"/>
      <c r="E188" s="13" t="s">
        <v>699</v>
      </c>
      <c r="F188" s="9"/>
      <c r="G188" s="25"/>
      <c r="H188" s="9"/>
      <c r="I188" s="13" t="s">
        <v>536</v>
      </c>
      <c r="J188" s="13"/>
      <c r="K188" s="13"/>
      <c r="L188" s="9"/>
      <c r="M188" s="9"/>
      <c r="N188" s="9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24.0" customHeight="1">
      <c r="A189" s="6" t="s">
        <v>700</v>
      </c>
      <c r="B189" s="6" t="s">
        <v>15</v>
      </c>
      <c r="C189" s="6" t="s">
        <v>701</v>
      </c>
      <c r="D189" s="9"/>
      <c r="E189" s="13" t="s">
        <v>702</v>
      </c>
      <c r="F189" s="9"/>
      <c r="G189" s="25"/>
      <c r="H189" s="9"/>
      <c r="I189" s="13" t="s">
        <v>536</v>
      </c>
      <c r="J189" s="13"/>
      <c r="K189" s="13"/>
      <c r="L189" s="9"/>
      <c r="M189" s="9"/>
      <c r="N189" s="9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24.0" customHeight="1">
      <c r="A190" s="6" t="s">
        <v>703</v>
      </c>
      <c r="B190" s="6" t="s">
        <v>40</v>
      </c>
      <c r="C190" s="6" t="s">
        <v>704</v>
      </c>
      <c r="D190" s="13"/>
      <c r="E190" s="13" t="s">
        <v>705</v>
      </c>
      <c r="F190" s="9">
        <v>-58.56254</v>
      </c>
      <c r="G190" s="25">
        <v>-34.596034</v>
      </c>
      <c r="H190" s="9" t="s">
        <v>706</v>
      </c>
      <c r="I190" s="13" t="s">
        <v>707</v>
      </c>
      <c r="J190" s="13"/>
      <c r="K190" s="7" t="s">
        <v>21</v>
      </c>
      <c r="L190" s="10"/>
      <c r="M190" s="10"/>
      <c r="N190" s="10"/>
      <c r="O190" s="10" t="str">
        <f t="shared" ref="O190:O318" si="4">CONCATENATE(E190,";"," Tres de Febrero",";"," Argentina")</f>
        <v>Fray Justo Santa Maria de Oro 4760; Tres de Febrero; Argentina</v>
      </c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24.0" customHeight="1">
      <c r="A191" s="6" t="s">
        <v>708</v>
      </c>
      <c r="B191" s="6" t="s">
        <v>40</v>
      </c>
      <c r="C191" s="6" t="s">
        <v>709</v>
      </c>
      <c r="D191" s="13"/>
      <c r="E191" s="13" t="s">
        <v>710</v>
      </c>
      <c r="F191" s="9">
        <v>-58.5647719</v>
      </c>
      <c r="G191" s="25">
        <v>-34.6073264</v>
      </c>
      <c r="H191" s="9" t="s">
        <v>711</v>
      </c>
      <c r="I191" s="13" t="s">
        <v>707</v>
      </c>
      <c r="J191" s="13"/>
      <c r="K191" s="7" t="s">
        <v>21</v>
      </c>
      <c r="L191" s="10"/>
      <c r="M191" s="10"/>
      <c r="N191" s="10"/>
      <c r="O191" s="10" t="str">
        <f t="shared" si="4"/>
        <v>A. Ferreyra 2744; Tres de Febrero; Argentina</v>
      </c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24.0" customHeight="1">
      <c r="A192" s="6" t="s">
        <v>712</v>
      </c>
      <c r="B192" s="6" t="s">
        <v>216</v>
      </c>
      <c r="C192" s="6" t="s">
        <v>709</v>
      </c>
      <c r="D192" s="13"/>
      <c r="E192" s="13" t="s">
        <v>710</v>
      </c>
      <c r="F192" s="9">
        <v>-58.5647719</v>
      </c>
      <c r="G192" s="25">
        <v>-34.6073264</v>
      </c>
      <c r="H192" s="9" t="s">
        <v>711</v>
      </c>
      <c r="I192" s="13" t="s">
        <v>707</v>
      </c>
      <c r="J192" s="13"/>
      <c r="K192" s="7" t="s">
        <v>21</v>
      </c>
      <c r="L192" s="10"/>
      <c r="M192" s="10"/>
      <c r="N192" s="10"/>
      <c r="O192" s="10" t="str">
        <f t="shared" si="4"/>
        <v>A. Ferreyra 2744; Tres de Febrero; Argentina</v>
      </c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24.0" customHeight="1">
      <c r="A193" s="6" t="s">
        <v>713</v>
      </c>
      <c r="B193" s="6" t="s">
        <v>329</v>
      </c>
      <c r="C193" s="6" t="s">
        <v>709</v>
      </c>
      <c r="D193" s="13"/>
      <c r="E193" s="13" t="s">
        <v>710</v>
      </c>
      <c r="F193" s="9">
        <v>-58.5647719</v>
      </c>
      <c r="G193" s="25">
        <v>-34.6073264</v>
      </c>
      <c r="H193" s="9" t="s">
        <v>711</v>
      </c>
      <c r="I193" s="13" t="s">
        <v>707</v>
      </c>
      <c r="J193" s="13"/>
      <c r="K193" s="7" t="s">
        <v>21</v>
      </c>
      <c r="L193" s="10"/>
      <c r="M193" s="10"/>
      <c r="N193" s="10"/>
      <c r="O193" s="10" t="str">
        <f t="shared" si="4"/>
        <v>A. Ferreyra 2744; Tres de Febrero; Argentina</v>
      </c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24.0" customHeight="1">
      <c r="A194" s="6" t="s">
        <v>714</v>
      </c>
      <c r="B194" s="6" t="s">
        <v>40</v>
      </c>
      <c r="C194" s="6" t="s">
        <v>715</v>
      </c>
      <c r="D194" s="13"/>
      <c r="E194" s="13" t="s">
        <v>716</v>
      </c>
      <c r="F194" s="9">
        <v>-58.5544937</v>
      </c>
      <c r="G194" s="25">
        <v>-34.6163872</v>
      </c>
      <c r="H194" s="9" t="s">
        <v>717</v>
      </c>
      <c r="I194" s="13" t="s">
        <v>707</v>
      </c>
      <c r="J194" s="13"/>
      <c r="K194" s="7" t="s">
        <v>21</v>
      </c>
      <c r="L194" s="10"/>
      <c r="M194" s="10"/>
      <c r="N194" s="10"/>
      <c r="O194" s="10" t="str">
        <f t="shared" si="4"/>
        <v>PUAN E/ PERU Y BOLIVIA 4066; Tres de Febrero; Argentina</v>
      </c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24.0" customHeight="1">
      <c r="A195" s="6" t="s">
        <v>718</v>
      </c>
      <c r="B195" s="6" t="s">
        <v>40</v>
      </c>
      <c r="C195" s="6" t="s">
        <v>719</v>
      </c>
      <c r="D195" s="13"/>
      <c r="E195" s="13" t="s">
        <v>720</v>
      </c>
      <c r="F195" s="9">
        <v>-58.575855</v>
      </c>
      <c r="G195" s="25">
        <v>-34.6133917</v>
      </c>
      <c r="H195" s="9" t="s">
        <v>721</v>
      </c>
      <c r="I195" s="13" t="s">
        <v>707</v>
      </c>
      <c r="J195" s="13"/>
      <c r="K195" s="7" t="s">
        <v>21</v>
      </c>
      <c r="L195" s="10"/>
      <c r="M195" s="10"/>
      <c r="N195" s="10"/>
      <c r="O195" s="10" t="str">
        <f t="shared" si="4"/>
        <v>PJE. PAZZELLI 3368 VILLA MATHIEU; Tres de Febrero; Argentina</v>
      </c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24.0" customHeight="1">
      <c r="A196" s="6" t="s">
        <v>722</v>
      </c>
      <c r="B196" s="6" t="s">
        <v>15</v>
      </c>
      <c r="C196" s="6" t="s">
        <v>723</v>
      </c>
      <c r="D196" s="13"/>
      <c r="E196" s="13" t="s">
        <v>724</v>
      </c>
      <c r="F196" s="9"/>
      <c r="G196" s="25"/>
      <c r="H196" s="9" t="s">
        <v>725</v>
      </c>
      <c r="I196" s="13" t="s">
        <v>707</v>
      </c>
      <c r="J196" s="13"/>
      <c r="K196" s="13"/>
      <c r="L196" s="9"/>
      <c r="M196" s="9"/>
      <c r="N196" s="9"/>
      <c r="O196" s="10" t="str">
        <f t="shared" si="4"/>
        <v>CASEROS 2756; Tres de Febrero; Argentina</v>
      </c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24.0" customHeight="1">
      <c r="A197" s="6" t="s">
        <v>726</v>
      </c>
      <c r="B197" s="6" t="s">
        <v>15</v>
      </c>
      <c r="C197" s="6" t="s">
        <v>727</v>
      </c>
      <c r="D197" s="13"/>
      <c r="E197" s="13" t="s">
        <v>728</v>
      </c>
      <c r="F197" s="9"/>
      <c r="G197" s="25"/>
      <c r="H197" s="13" t="s">
        <v>729</v>
      </c>
      <c r="I197" s="13" t="s">
        <v>707</v>
      </c>
      <c r="J197" s="13"/>
      <c r="K197" s="13"/>
      <c r="L197" s="9"/>
      <c r="M197" s="9"/>
      <c r="N197" s="9"/>
      <c r="O197" s="10" t="str">
        <f t="shared" si="4"/>
        <v>FISCHETTI 4461; Tres de Febrero; Argentina</v>
      </c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24.0" customHeight="1">
      <c r="A198" s="6" t="s">
        <v>730</v>
      </c>
      <c r="B198" s="6" t="s">
        <v>40</v>
      </c>
      <c r="C198" s="6" t="s">
        <v>731</v>
      </c>
      <c r="D198" s="13"/>
      <c r="E198" s="13" t="s">
        <v>732</v>
      </c>
      <c r="F198" s="13">
        <v>-58.5681604</v>
      </c>
      <c r="G198" s="13">
        <v>-34.6025447</v>
      </c>
      <c r="H198" s="13" t="s">
        <v>733</v>
      </c>
      <c r="I198" s="13" t="s">
        <v>707</v>
      </c>
      <c r="J198" s="13"/>
      <c r="K198" s="7" t="s">
        <v>21</v>
      </c>
      <c r="L198" s="10"/>
      <c r="M198" s="10"/>
      <c r="N198" s="10"/>
      <c r="O198" s="10" t="str">
        <f t="shared" si="4"/>
        <v>J.B.ALBERTI E/ HORNOS Y CURAPALIGUE 5051; Tres de Febrero; Argentina</v>
      </c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24.0" customHeight="1">
      <c r="A199" s="6" t="s">
        <v>734</v>
      </c>
      <c r="B199" s="6" t="s">
        <v>329</v>
      </c>
      <c r="C199" s="6" t="s">
        <v>731</v>
      </c>
      <c r="D199" s="13"/>
      <c r="E199" s="13" t="s">
        <v>735</v>
      </c>
      <c r="F199" s="9">
        <v>-58.5681604</v>
      </c>
      <c r="G199" s="25">
        <v>-34.6025447</v>
      </c>
      <c r="H199" s="13" t="s">
        <v>733</v>
      </c>
      <c r="I199" s="13" t="s">
        <v>707</v>
      </c>
      <c r="J199" s="13"/>
      <c r="K199" s="7" t="s">
        <v>21</v>
      </c>
      <c r="L199" s="10"/>
      <c r="M199" s="10"/>
      <c r="N199" s="10"/>
      <c r="O199" s="10" t="str">
        <f t="shared" si="4"/>
        <v>JUAN BAUTISTA ALBERDI 5051; Tres de Febrero; Argentina</v>
      </c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24.0" customHeight="1">
      <c r="A200" s="6" t="s">
        <v>736</v>
      </c>
      <c r="B200" s="6" t="s">
        <v>329</v>
      </c>
      <c r="C200" s="6" t="s">
        <v>737</v>
      </c>
      <c r="D200" s="13"/>
      <c r="E200" s="13" t="s">
        <v>738</v>
      </c>
      <c r="F200" s="9">
        <v>-58.5544937</v>
      </c>
      <c r="G200" s="25">
        <v>-34.6163872</v>
      </c>
      <c r="H200" s="9" t="s">
        <v>717</v>
      </c>
      <c r="I200" s="13" t="s">
        <v>707</v>
      </c>
      <c r="J200" s="13"/>
      <c r="K200" s="7" t="s">
        <v>21</v>
      </c>
      <c r="L200" s="10"/>
      <c r="M200" s="10"/>
      <c r="N200" s="10"/>
      <c r="O200" s="10" t="str">
        <f t="shared" si="4"/>
        <v>PUAN 4066; Tres de Febrero; Argentina</v>
      </c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24.0" customHeight="1">
      <c r="A201" s="6" t="s">
        <v>739</v>
      </c>
      <c r="B201" s="6" t="s">
        <v>40</v>
      </c>
      <c r="C201" s="6" t="s">
        <v>740</v>
      </c>
      <c r="D201" s="13"/>
      <c r="E201" s="13" t="s">
        <v>741</v>
      </c>
      <c r="F201" s="9">
        <v>-58.5607914</v>
      </c>
      <c r="G201" s="25">
        <v>-34.6012093</v>
      </c>
      <c r="H201" s="9" t="s">
        <v>742</v>
      </c>
      <c r="I201" s="13" t="s">
        <v>707</v>
      </c>
      <c r="J201" s="13"/>
      <c r="K201" s="7" t="s">
        <v>21</v>
      </c>
      <c r="L201" s="10"/>
      <c r="M201" s="10"/>
      <c r="N201" s="10"/>
      <c r="O201" s="10" t="str">
        <f t="shared" si="4"/>
        <v>WENCESLAO H. DE TATA 4635; Tres de Febrero; Argentina</v>
      </c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24.0" customHeight="1">
      <c r="A202" s="6" t="s">
        <v>743</v>
      </c>
      <c r="B202" s="6" t="s">
        <v>329</v>
      </c>
      <c r="C202" s="6" t="s">
        <v>740</v>
      </c>
      <c r="D202" s="13"/>
      <c r="E202" s="13" t="s">
        <v>744</v>
      </c>
      <c r="F202" s="9">
        <v>-58.5607914</v>
      </c>
      <c r="G202" s="25">
        <v>-34.6012093</v>
      </c>
      <c r="H202" s="9" t="s">
        <v>742</v>
      </c>
      <c r="I202" s="13" t="s">
        <v>707</v>
      </c>
      <c r="J202" s="13"/>
      <c r="K202" s="7" t="s">
        <v>21</v>
      </c>
      <c r="L202" s="10"/>
      <c r="M202" s="10"/>
      <c r="N202" s="10"/>
      <c r="O202" s="10" t="str">
        <f t="shared" si="4"/>
        <v>WENCESLAO DE TATA 4635; Tres de Febrero; Argentina</v>
      </c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24.0" customHeight="1">
      <c r="A203" s="6" t="s">
        <v>745</v>
      </c>
      <c r="B203" s="6" t="s">
        <v>216</v>
      </c>
      <c r="C203" s="6" t="s">
        <v>740</v>
      </c>
      <c r="D203" s="13"/>
      <c r="E203" s="13" t="s">
        <v>744</v>
      </c>
      <c r="F203" s="9">
        <v>-58.5607914</v>
      </c>
      <c r="G203" s="25">
        <v>-34.6012093</v>
      </c>
      <c r="H203" s="9" t="s">
        <v>742</v>
      </c>
      <c r="I203" s="13" t="s">
        <v>707</v>
      </c>
      <c r="J203" s="13"/>
      <c r="K203" s="7" t="s">
        <v>21</v>
      </c>
      <c r="L203" s="10"/>
      <c r="M203" s="10"/>
      <c r="N203" s="10"/>
      <c r="O203" s="10" t="str">
        <f t="shared" si="4"/>
        <v>WENCESLAO DE TATA 4635; Tres de Febrero; Argentina</v>
      </c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24.0" customHeight="1">
      <c r="A204" s="6" t="s">
        <v>746</v>
      </c>
      <c r="B204" s="6" t="s">
        <v>40</v>
      </c>
      <c r="C204" s="6" t="s">
        <v>747</v>
      </c>
      <c r="D204" s="13"/>
      <c r="E204" s="13" t="s">
        <v>748</v>
      </c>
      <c r="F204" s="9">
        <v>-58.5715001</v>
      </c>
      <c r="G204" s="25">
        <v>-34.6103926</v>
      </c>
      <c r="H204" s="9" t="s">
        <v>749</v>
      </c>
      <c r="I204" s="13" t="s">
        <v>707</v>
      </c>
      <c r="J204" s="13"/>
      <c r="K204" s="7" t="s">
        <v>21</v>
      </c>
      <c r="L204" s="10"/>
      <c r="M204" s="10"/>
      <c r="N204" s="10"/>
      <c r="O204" s="10" t="str">
        <f t="shared" si="4"/>
        <v>OLAVARRIA E/ MITRE Y MERLO 3061; Tres de Febrero; Argentina</v>
      </c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24.0" customHeight="1">
      <c r="A205" s="6" t="s">
        <v>750</v>
      </c>
      <c r="B205" s="6" t="s">
        <v>329</v>
      </c>
      <c r="C205" s="6" t="s">
        <v>747</v>
      </c>
      <c r="D205" s="13"/>
      <c r="E205" s="13" t="s">
        <v>751</v>
      </c>
      <c r="F205" s="9">
        <v>-58.5715001</v>
      </c>
      <c r="G205" s="25">
        <v>-34.6103926</v>
      </c>
      <c r="H205" s="9" t="s">
        <v>749</v>
      </c>
      <c r="I205" s="13" t="s">
        <v>707</v>
      </c>
      <c r="J205" s="13"/>
      <c r="K205" s="7" t="s">
        <v>21</v>
      </c>
      <c r="L205" s="10"/>
      <c r="M205" s="10"/>
      <c r="N205" s="10"/>
      <c r="O205" s="10" t="str">
        <f t="shared" si="4"/>
        <v>OLAVARRIA 3061; Tres de Febrero; Argentina</v>
      </c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24.0" customHeight="1">
      <c r="A206" s="6" t="s">
        <v>752</v>
      </c>
      <c r="B206" s="6" t="s">
        <v>329</v>
      </c>
      <c r="C206" s="6" t="s">
        <v>753</v>
      </c>
      <c r="D206" s="13"/>
      <c r="E206" s="13" t="s">
        <v>754</v>
      </c>
      <c r="F206" s="9">
        <v>-58.56254</v>
      </c>
      <c r="G206" s="25">
        <v>-34.596034</v>
      </c>
      <c r="H206" s="9"/>
      <c r="I206" s="13" t="s">
        <v>707</v>
      </c>
      <c r="J206" s="13"/>
      <c r="K206" s="7" t="s">
        <v>21</v>
      </c>
      <c r="L206" s="10"/>
      <c r="M206" s="10"/>
      <c r="N206" s="10"/>
      <c r="O206" s="10" t="str">
        <f t="shared" si="4"/>
        <v>AV.SAN MARTIN 1555; Tres de Febrero; Argentina</v>
      </c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24.0" customHeight="1">
      <c r="A207" s="6" t="s">
        <v>755</v>
      </c>
      <c r="B207" s="6" t="s">
        <v>40</v>
      </c>
      <c r="C207" s="6" t="s">
        <v>756</v>
      </c>
      <c r="D207" s="13"/>
      <c r="E207" s="13" t="s">
        <v>757</v>
      </c>
      <c r="F207" s="9">
        <v>-58.5626572</v>
      </c>
      <c r="G207" s="25">
        <v>-34.6071879</v>
      </c>
      <c r="H207" s="9"/>
      <c r="I207" s="13" t="s">
        <v>707</v>
      </c>
      <c r="J207" s="13"/>
      <c r="K207" s="7" t="s">
        <v>21</v>
      </c>
      <c r="L207" s="10"/>
      <c r="M207" s="10"/>
      <c r="N207" s="10"/>
      <c r="O207" s="10" t="str">
        <f t="shared" si="4"/>
        <v>BELGRANO E/AV. SAN MARTIN Y AV MAGDALE 4720; Tres de Febrero; Argentina</v>
      </c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24.0" customHeight="1">
      <c r="A208" s="6" t="s">
        <v>758</v>
      </c>
      <c r="B208" s="6" t="s">
        <v>329</v>
      </c>
      <c r="C208" s="6" t="s">
        <v>756</v>
      </c>
      <c r="D208" s="13"/>
      <c r="E208" s="13" t="s">
        <v>759</v>
      </c>
      <c r="F208" s="9">
        <v>-58.5626572</v>
      </c>
      <c r="G208" s="25">
        <v>-34.6071879</v>
      </c>
      <c r="H208" s="9"/>
      <c r="I208" s="13" t="s">
        <v>707</v>
      </c>
      <c r="J208" s="13"/>
      <c r="K208" s="7" t="s">
        <v>21</v>
      </c>
      <c r="L208" s="10"/>
      <c r="M208" s="10"/>
      <c r="N208" s="10"/>
      <c r="O208" s="10" t="str">
        <f t="shared" si="4"/>
        <v>BELGRANO E/ SAN MARTIN Y 3 DE FEBRERO 4720; Tres de Febrero; Argentina</v>
      </c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24.0" customHeight="1">
      <c r="A209" s="6" t="s">
        <v>760</v>
      </c>
      <c r="B209" s="6" t="s">
        <v>216</v>
      </c>
      <c r="C209" s="6" t="s">
        <v>756</v>
      </c>
      <c r="D209" s="13"/>
      <c r="E209" s="13" t="s">
        <v>761</v>
      </c>
      <c r="F209" s="9">
        <v>-58.5626572</v>
      </c>
      <c r="G209" s="25">
        <v>-34.6071879</v>
      </c>
      <c r="H209" s="9"/>
      <c r="I209" s="13" t="s">
        <v>707</v>
      </c>
      <c r="J209" s="13"/>
      <c r="K209" s="7" t="s">
        <v>21</v>
      </c>
      <c r="L209" s="10"/>
      <c r="M209" s="10"/>
      <c r="N209" s="10"/>
      <c r="O209" s="10" t="str">
        <f t="shared" si="4"/>
        <v>BELGRANO 4720; Tres de Febrero; Argentina</v>
      </c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24.0" customHeight="1">
      <c r="A210" s="6" t="s">
        <v>762</v>
      </c>
      <c r="B210" s="6" t="s">
        <v>329</v>
      </c>
      <c r="C210" s="6" t="s">
        <v>763</v>
      </c>
      <c r="D210" s="13"/>
      <c r="E210" s="13" t="s">
        <v>764</v>
      </c>
      <c r="F210" s="9">
        <v>-58.5710543</v>
      </c>
      <c r="G210" s="25">
        <v>-34.5980946</v>
      </c>
      <c r="H210" s="9"/>
      <c r="I210" s="13" t="s">
        <v>707</v>
      </c>
      <c r="J210" s="13"/>
      <c r="K210" s="7" t="s">
        <v>21</v>
      </c>
      <c r="L210" s="10"/>
      <c r="M210" s="10"/>
      <c r="N210" s="10"/>
      <c r="O210" s="10" t="str">
        <f t="shared" si="4"/>
        <v>FRAY M ESQUIU E/ BALDINI Y POTOSI 5230; Tres de Febrero; Argentina</v>
      </c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24.0" customHeight="1">
      <c r="A211" s="6" t="s">
        <v>765</v>
      </c>
      <c r="B211" s="6" t="s">
        <v>40</v>
      </c>
      <c r="C211" s="6" t="s">
        <v>766</v>
      </c>
      <c r="D211" s="13"/>
      <c r="E211" s="13" t="s">
        <v>767</v>
      </c>
      <c r="F211" s="9">
        <v>-58.5612429</v>
      </c>
      <c r="G211" s="25">
        <v>-34.6092125</v>
      </c>
      <c r="H211" s="9"/>
      <c r="I211" s="13" t="s">
        <v>707</v>
      </c>
      <c r="J211" s="13"/>
      <c r="K211" s="7" t="s">
        <v>21</v>
      </c>
      <c r="L211" s="10"/>
      <c r="M211" s="10"/>
      <c r="N211" s="10"/>
      <c r="O211" s="10" t="str">
        <f t="shared" si="4"/>
        <v>NUESTRA SEÑORA DE LA MERCED 4624; Tres de Febrero; Argentina</v>
      </c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24.0" customHeight="1">
      <c r="A212" s="6" t="s">
        <v>768</v>
      </c>
      <c r="B212" s="6" t="s">
        <v>329</v>
      </c>
      <c r="C212" s="6" t="s">
        <v>766</v>
      </c>
      <c r="D212" s="13"/>
      <c r="E212" s="13" t="s">
        <v>769</v>
      </c>
      <c r="F212" s="9">
        <v>-58.5612429</v>
      </c>
      <c r="G212" s="25">
        <v>-34.6092125</v>
      </c>
      <c r="H212" s="9"/>
      <c r="I212" s="13" t="s">
        <v>707</v>
      </c>
      <c r="J212" s="13"/>
      <c r="K212" s="7" t="s">
        <v>21</v>
      </c>
      <c r="L212" s="10"/>
      <c r="M212" s="10"/>
      <c r="N212" s="10"/>
      <c r="O212" s="10" t="str">
        <f t="shared" si="4"/>
        <v>NTRA.SRA.DE LA MERCED 4624; Tres de Febrero; Argentina</v>
      </c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24.0" customHeight="1">
      <c r="A213" s="6"/>
      <c r="B213" s="6" t="s">
        <v>40</v>
      </c>
      <c r="C213" s="6" t="s">
        <v>770</v>
      </c>
      <c r="D213" s="13"/>
      <c r="E213" s="13" t="s">
        <v>771</v>
      </c>
      <c r="F213" s="9">
        <v>-58.6156645</v>
      </c>
      <c r="G213" s="25">
        <v>-34.5630205</v>
      </c>
      <c r="H213" s="9"/>
      <c r="I213" s="13" t="s">
        <v>707</v>
      </c>
      <c r="J213" s="13"/>
      <c r="K213" s="7" t="s">
        <v>21</v>
      </c>
      <c r="L213" s="10"/>
      <c r="M213" s="10"/>
      <c r="N213" s="10"/>
      <c r="O213" s="10" t="str">
        <f t="shared" si="4"/>
        <v>PJE. RAFAEL PAZZELLI 3368; Tres de Febrero; Argentina</v>
      </c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24.0" customHeight="1">
      <c r="A214" s="6" t="s">
        <v>772</v>
      </c>
      <c r="B214" s="6" t="s">
        <v>668</v>
      </c>
      <c r="C214" s="6" t="s">
        <v>773</v>
      </c>
      <c r="D214" s="13"/>
      <c r="E214" s="13" t="s">
        <v>774</v>
      </c>
      <c r="F214" s="9"/>
      <c r="G214" s="25"/>
      <c r="H214" s="9"/>
      <c r="I214" s="13" t="s">
        <v>707</v>
      </c>
      <c r="J214" s="13"/>
      <c r="K214" s="13"/>
      <c r="L214" s="9"/>
      <c r="M214" s="9"/>
      <c r="N214" s="9"/>
      <c r="O214" s="10" t="str">
        <f t="shared" si="4"/>
        <v>DR. AMADEO SABATINI 4991; Tres de Febrero; Argentina</v>
      </c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24.0" customHeight="1">
      <c r="A215" s="6" t="s">
        <v>775</v>
      </c>
      <c r="B215" s="6" t="s">
        <v>668</v>
      </c>
      <c r="C215" s="6" t="s">
        <v>776</v>
      </c>
      <c r="D215" s="13"/>
      <c r="E215" s="13" t="s">
        <v>777</v>
      </c>
      <c r="F215" s="9"/>
      <c r="G215" s="25"/>
      <c r="H215" s="9"/>
      <c r="I215" s="13" t="s">
        <v>707</v>
      </c>
      <c r="J215" s="13"/>
      <c r="K215" s="13"/>
      <c r="L215" s="9"/>
      <c r="M215" s="9"/>
      <c r="N215" s="9"/>
      <c r="O215" s="10" t="str">
        <f t="shared" si="4"/>
        <v>WENCESLAO DE TATA 4924; Tres de Febrero; Argentina</v>
      </c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24.0" customHeight="1">
      <c r="A216" s="6" t="s">
        <v>778</v>
      </c>
      <c r="B216" s="6" t="s">
        <v>216</v>
      </c>
      <c r="C216" s="6" t="s">
        <v>779</v>
      </c>
      <c r="D216" s="13"/>
      <c r="E216" s="13" t="s">
        <v>780</v>
      </c>
      <c r="F216" s="9">
        <v>-58.56254</v>
      </c>
      <c r="G216" s="25">
        <v>-34.596034</v>
      </c>
      <c r="H216" s="9"/>
      <c r="I216" s="13" t="s">
        <v>707</v>
      </c>
      <c r="J216" s="9"/>
      <c r="K216" s="7" t="s">
        <v>21</v>
      </c>
      <c r="L216" s="10"/>
      <c r="M216" s="10"/>
      <c r="N216" s="10"/>
      <c r="O216" s="10" t="str">
        <f t="shared" si="4"/>
        <v>AV. FRAY JUSTO SANTA MARIA DE ORO 4750; Tres de Febrero; Argentina</v>
      </c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24.0" customHeight="1">
      <c r="A217" s="6" t="s">
        <v>781</v>
      </c>
      <c r="B217" s="6" t="s">
        <v>216</v>
      </c>
      <c r="C217" s="6" t="s">
        <v>782</v>
      </c>
      <c r="D217" s="13"/>
      <c r="E217" s="13" t="s">
        <v>735</v>
      </c>
      <c r="F217" s="9">
        <v>-58.5681604</v>
      </c>
      <c r="G217" s="25">
        <v>-34.6025447</v>
      </c>
      <c r="H217" s="9"/>
      <c r="I217" s="13" t="s">
        <v>707</v>
      </c>
      <c r="J217" s="9"/>
      <c r="K217" s="7" t="s">
        <v>21</v>
      </c>
      <c r="L217" s="10"/>
      <c r="M217" s="10"/>
      <c r="N217" s="10"/>
      <c r="O217" s="10" t="str">
        <f t="shared" si="4"/>
        <v>JUAN BAUTISTA ALBERDI 5051; Tres de Febrero; Argentina</v>
      </c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6" t="s">
        <v>783</v>
      </c>
      <c r="B218" s="6" t="s">
        <v>216</v>
      </c>
      <c r="C218" s="6" t="s">
        <v>784</v>
      </c>
      <c r="D218" s="13"/>
      <c r="E218" s="13" t="s">
        <v>785</v>
      </c>
      <c r="F218" s="9"/>
      <c r="G218" s="25"/>
      <c r="H218" s="9"/>
      <c r="I218" s="13" t="s">
        <v>707</v>
      </c>
      <c r="J218" s="9"/>
      <c r="K218" s="13"/>
      <c r="L218" s="9"/>
      <c r="M218" s="9"/>
      <c r="N218" s="9"/>
      <c r="O218" s="10" t="str">
        <f t="shared" si="4"/>
        <v>MAESTRA BALDINI 1861; Tres de Febrero; Argentina</v>
      </c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6" t="s">
        <v>786</v>
      </c>
      <c r="B219" s="6" t="s">
        <v>216</v>
      </c>
      <c r="C219" s="6" t="s">
        <v>787</v>
      </c>
      <c r="D219" s="13"/>
      <c r="E219" s="13" t="s">
        <v>788</v>
      </c>
      <c r="F219" s="9"/>
      <c r="G219" s="25"/>
      <c r="H219" s="9"/>
      <c r="I219" s="13" t="s">
        <v>707</v>
      </c>
      <c r="J219" s="9"/>
      <c r="K219" s="13"/>
      <c r="L219" s="9"/>
      <c r="M219" s="9"/>
      <c r="N219" s="9"/>
      <c r="O219" s="10" t="str">
        <f t="shared" si="4"/>
        <v>JUAN BAUTISTA ALBERDI 4961; Tres de Febrero; Argentina</v>
      </c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6" t="s">
        <v>789</v>
      </c>
      <c r="B220" s="6" t="s">
        <v>216</v>
      </c>
      <c r="C220" s="6" t="s">
        <v>790</v>
      </c>
      <c r="D220" s="13"/>
      <c r="E220" s="13" t="s">
        <v>791</v>
      </c>
      <c r="F220" s="9"/>
      <c r="G220" s="25"/>
      <c r="H220" s="9"/>
      <c r="I220" s="13" t="s">
        <v>707</v>
      </c>
      <c r="J220" s="9"/>
      <c r="K220" s="13"/>
      <c r="L220" s="9"/>
      <c r="M220" s="9"/>
      <c r="N220" s="9"/>
      <c r="O220" s="10" t="str">
        <f t="shared" si="4"/>
        <v>LA MERCED 4443; Tres de Febrero; Argentina</v>
      </c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6" t="s">
        <v>714</v>
      </c>
      <c r="B221" s="6" t="s">
        <v>216</v>
      </c>
      <c r="C221" s="6" t="s">
        <v>792</v>
      </c>
      <c r="D221" s="13"/>
      <c r="E221" s="13" t="s">
        <v>793</v>
      </c>
      <c r="F221" s="9"/>
      <c r="G221" s="25"/>
      <c r="H221" s="9"/>
      <c r="I221" s="13" t="s">
        <v>707</v>
      </c>
      <c r="J221" s="9"/>
      <c r="K221" s="13"/>
      <c r="L221" s="9"/>
      <c r="M221" s="9"/>
      <c r="N221" s="9"/>
      <c r="O221" s="10" t="str">
        <f t="shared" si="4"/>
        <v>JUAN DE GARAY 4151; Tres de Febrero; Argentina</v>
      </c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6" t="s">
        <v>794</v>
      </c>
      <c r="B222" s="6" t="s">
        <v>216</v>
      </c>
      <c r="C222" s="6" t="s">
        <v>795</v>
      </c>
      <c r="D222" s="13"/>
      <c r="E222" s="13" t="s">
        <v>796</v>
      </c>
      <c r="F222" s="9"/>
      <c r="G222" s="25"/>
      <c r="H222" s="9"/>
      <c r="I222" s="13" t="s">
        <v>707</v>
      </c>
      <c r="J222" s="9"/>
      <c r="K222" s="13"/>
      <c r="L222" s="9"/>
      <c r="M222" s="9"/>
      <c r="N222" s="9"/>
      <c r="O222" s="10" t="str">
        <f t="shared" si="4"/>
        <v>RAFAEL PAZZELLI (EX IRALA) 3368; Tres de Febrero; Argentina</v>
      </c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6" t="s">
        <v>797</v>
      </c>
      <c r="B223" s="6" t="s">
        <v>40</v>
      </c>
      <c r="C223" s="6" t="s">
        <v>798</v>
      </c>
      <c r="D223" s="13"/>
      <c r="E223" s="13" t="s">
        <v>764</v>
      </c>
      <c r="F223" s="9">
        <v>-58.5710543</v>
      </c>
      <c r="G223" s="25">
        <v>-34.5980946</v>
      </c>
      <c r="H223" s="9"/>
      <c r="I223" s="13" t="s">
        <v>707</v>
      </c>
      <c r="J223" s="9"/>
      <c r="K223" s="7" t="s">
        <v>21</v>
      </c>
      <c r="L223" s="10"/>
      <c r="M223" s="10"/>
      <c r="N223" s="10"/>
      <c r="O223" s="10" t="str">
        <f t="shared" si="4"/>
        <v>FRAY M ESQUIU E/ BALDINI Y POTOSI 5230; Tres de Febrero; Argentina</v>
      </c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6" t="s">
        <v>799</v>
      </c>
      <c r="B224" s="6" t="s">
        <v>216</v>
      </c>
      <c r="C224" s="6" t="s">
        <v>800</v>
      </c>
      <c r="D224" s="13"/>
      <c r="E224" s="13" t="s">
        <v>801</v>
      </c>
      <c r="F224" s="9">
        <v>-58.5920822</v>
      </c>
      <c r="G224" s="25">
        <v>-34.6053577</v>
      </c>
      <c r="H224" s="9"/>
      <c r="I224" s="13" t="s">
        <v>707</v>
      </c>
      <c r="J224" s="9"/>
      <c r="K224" s="7" t="s">
        <v>21</v>
      </c>
      <c r="L224" s="10"/>
      <c r="M224" s="10"/>
      <c r="N224" s="10"/>
      <c r="O224" s="10" t="str">
        <f t="shared" si="4"/>
        <v>MISIONES 6434; Tres de Febrero; Argentina</v>
      </c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6" t="s">
        <v>802</v>
      </c>
      <c r="B225" s="6" t="s">
        <v>40</v>
      </c>
      <c r="C225" s="6" t="s">
        <v>803</v>
      </c>
      <c r="D225" s="13"/>
      <c r="E225" s="13" t="s">
        <v>804</v>
      </c>
      <c r="F225" s="9"/>
      <c r="G225" s="25"/>
      <c r="H225" s="9"/>
      <c r="I225" s="13" t="s">
        <v>707</v>
      </c>
      <c r="J225" s="9"/>
      <c r="K225" s="13"/>
      <c r="L225" s="9"/>
      <c r="M225" s="9"/>
      <c r="N225" s="9"/>
      <c r="O225" s="10" t="str">
        <f t="shared" si="4"/>
        <v>MATIENZO Y ALAS ARGENTINAS 2799; Tres de Febrero; Argentina</v>
      </c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6" t="s">
        <v>805</v>
      </c>
      <c r="B226" s="6" t="s">
        <v>40</v>
      </c>
      <c r="C226" s="6" t="s">
        <v>806</v>
      </c>
      <c r="D226" s="13"/>
      <c r="E226" s="13" t="s">
        <v>807</v>
      </c>
      <c r="F226" s="9"/>
      <c r="G226" s="25"/>
      <c r="H226" s="9"/>
      <c r="I226" s="13" t="s">
        <v>707</v>
      </c>
      <c r="J226" s="9"/>
      <c r="K226" s="13"/>
      <c r="L226" s="9"/>
      <c r="M226" s="9"/>
      <c r="N226" s="9"/>
      <c r="O226" s="10" t="str">
        <f t="shared" si="4"/>
        <v>MISIONES E/ SAN MARTIN Y FORMOSA 6434; Tres de Febrero; Argentina</v>
      </c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6" t="s">
        <v>808</v>
      </c>
      <c r="B227" s="6" t="s">
        <v>40</v>
      </c>
      <c r="C227" s="6" t="s">
        <v>809</v>
      </c>
      <c r="D227" s="13"/>
      <c r="E227" s="13" t="s">
        <v>810</v>
      </c>
      <c r="F227" s="9"/>
      <c r="G227" s="25"/>
      <c r="H227" s="9"/>
      <c r="I227" s="13" t="s">
        <v>707</v>
      </c>
      <c r="J227" s="9"/>
      <c r="K227" s="13"/>
      <c r="L227" s="9"/>
      <c r="M227" s="9"/>
      <c r="N227" s="9"/>
      <c r="O227" s="10" t="str">
        <f t="shared" si="4"/>
        <v>WERNICKE E/ ZEPELIN Y ALAS ARGENTINAS 2458; Tres de Febrero; Argentina</v>
      </c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6" t="s">
        <v>811</v>
      </c>
      <c r="B228" s="6" t="s">
        <v>329</v>
      </c>
      <c r="C228" s="6" t="s">
        <v>809</v>
      </c>
      <c r="D228" s="13"/>
      <c r="E228" s="13" t="s">
        <v>812</v>
      </c>
      <c r="F228" s="9">
        <v>-58.5915523</v>
      </c>
      <c r="G228" s="25">
        <v>-34.595593</v>
      </c>
      <c r="H228" s="9"/>
      <c r="I228" s="13" t="s">
        <v>707</v>
      </c>
      <c r="J228" s="9"/>
      <c r="K228" s="7" t="s">
        <v>21</v>
      </c>
      <c r="L228" s="10"/>
      <c r="M228" s="10"/>
      <c r="N228" s="10"/>
      <c r="O228" s="10" t="str">
        <f t="shared" si="4"/>
        <v>AV. WERNICKE 2458; Tres de Febrero; Argentina</v>
      </c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6" t="s">
        <v>813</v>
      </c>
      <c r="B229" s="6" t="s">
        <v>668</v>
      </c>
      <c r="C229" s="6" t="s">
        <v>814</v>
      </c>
      <c r="D229" s="13"/>
      <c r="E229" s="13" t="s">
        <v>815</v>
      </c>
      <c r="F229" s="9"/>
      <c r="G229" s="25"/>
      <c r="H229" s="9"/>
      <c r="I229" s="13" t="s">
        <v>707</v>
      </c>
      <c r="J229" s="9"/>
      <c r="K229" s="13"/>
      <c r="L229" s="9"/>
      <c r="M229" s="9"/>
      <c r="N229" s="9"/>
      <c r="O229" s="10" t="str">
        <f t="shared" si="4"/>
        <v>AV. WERNICKE 543 CIUDAD JARDIN; Tres de Febrero; Argentina</v>
      </c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6" t="s">
        <v>816</v>
      </c>
      <c r="B230" s="6" t="s">
        <v>216</v>
      </c>
      <c r="C230" s="6" t="s">
        <v>817</v>
      </c>
      <c r="D230" s="13"/>
      <c r="E230" s="13" t="s">
        <v>818</v>
      </c>
      <c r="F230" s="9"/>
      <c r="G230" s="25"/>
      <c r="H230" s="9"/>
      <c r="I230" s="13" t="s">
        <v>707</v>
      </c>
      <c r="J230" s="9"/>
      <c r="K230" s="13"/>
      <c r="L230" s="9"/>
      <c r="M230" s="9"/>
      <c r="N230" s="9"/>
      <c r="O230" s="10" t="str">
        <f t="shared" si="4"/>
        <v>MATIENZO 509 Lomas de Palomar; Tres de Febrero; Argentina</v>
      </c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6" t="s">
        <v>799</v>
      </c>
      <c r="B231" s="6" t="s">
        <v>216</v>
      </c>
      <c r="C231" s="6" t="s">
        <v>819</v>
      </c>
      <c r="D231" s="13"/>
      <c r="E231" s="13" t="s">
        <v>820</v>
      </c>
      <c r="F231" s="9"/>
      <c r="G231" s="25"/>
      <c r="H231" s="9"/>
      <c r="I231" s="13" t="s">
        <v>707</v>
      </c>
      <c r="J231" s="9"/>
      <c r="K231" s="13"/>
      <c r="L231" s="9"/>
      <c r="M231" s="9"/>
      <c r="N231" s="9"/>
      <c r="O231" s="10" t="str">
        <f t="shared" si="4"/>
        <v>MISIONES E/SAN MARTIN Y FORMOSA 6446; Tres de Febrero; Argentina</v>
      </c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6" t="s">
        <v>821</v>
      </c>
      <c r="B232" s="6" t="s">
        <v>329</v>
      </c>
      <c r="C232" s="6" t="s">
        <v>822</v>
      </c>
      <c r="D232" s="13"/>
      <c r="E232" s="13" t="s">
        <v>823</v>
      </c>
      <c r="F232" s="9">
        <v>-58.5934247</v>
      </c>
      <c r="G232" s="25">
        <v>-34.5967934</v>
      </c>
      <c r="H232" s="9"/>
      <c r="I232" s="13" t="s">
        <v>707</v>
      </c>
      <c r="J232" s="9"/>
      <c r="K232" s="7" t="s">
        <v>21</v>
      </c>
      <c r="L232" s="10"/>
      <c r="M232" s="10"/>
      <c r="N232" s="10"/>
      <c r="O232" s="10" t="str">
        <f t="shared" si="4"/>
        <v>AV. MATIENZO 2799; Tres de Febrero; Argentina</v>
      </c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6" t="s">
        <v>821</v>
      </c>
      <c r="B233" s="6" t="s">
        <v>40</v>
      </c>
      <c r="C233" s="6" t="s">
        <v>824</v>
      </c>
      <c r="D233" s="13"/>
      <c r="E233" s="13" t="s">
        <v>825</v>
      </c>
      <c r="F233" s="9">
        <v>-58.53885</v>
      </c>
      <c r="G233" s="25">
        <v>-34.6395393</v>
      </c>
      <c r="H233" s="9"/>
      <c r="I233" s="13" t="s">
        <v>707</v>
      </c>
      <c r="J233" s="9"/>
      <c r="K233" s="7" t="s">
        <v>21</v>
      </c>
      <c r="L233" s="10"/>
      <c r="M233" s="10"/>
      <c r="N233" s="10"/>
      <c r="O233" s="10" t="str">
        <f t="shared" si="4"/>
        <v>MAIPU E/ CHACABUCO Y O'HIGGINS 3737; Tres de Febrero; Argentina</v>
      </c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6" t="s">
        <v>821</v>
      </c>
      <c r="B234" s="6" t="s">
        <v>40</v>
      </c>
      <c r="C234" s="6" t="s">
        <v>826</v>
      </c>
      <c r="D234" s="13"/>
      <c r="E234" s="13" t="s">
        <v>827</v>
      </c>
      <c r="F234" s="9"/>
      <c r="G234" s="25"/>
      <c r="H234" s="9"/>
      <c r="I234" s="13" t="s">
        <v>707</v>
      </c>
      <c r="J234" s="9"/>
      <c r="K234" s="13"/>
      <c r="L234" s="9"/>
      <c r="M234" s="9"/>
      <c r="N234" s="9"/>
      <c r="O234" s="10" t="str">
        <f t="shared" si="4"/>
        <v>H.YRIGOYEN E/ BESARES Y AV. MILITAR 1661; Tres de Febrero; Argentina</v>
      </c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6" t="s">
        <v>828</v>
      </c>
      <c r="B235" s="6" t="s">
        <v>40</v>
      </c>
      <c r="C235" s="6" t="s">
        <v>829</v>
      </c>
      <c r="D235" s="13"/>
      <c r="E235" s="13" t="s">
        <v>830</v>
      </c>
      <c r="F235" s="9"/>
      <c r="G235" s="25"/>
      <c r="H235" s="9"/>
      <c r="I235" s="13" t="s">
        <v>707</v>
      </c>
      <c r="J235" s="9"/>
      <c r="K235" s="13"/>
      <c r="L235" s="9"/>
      <c r="M235" s="9"/>
      <c r="N235" s="9"/>
      <c r="O235" s="10" t="str">
        <f t="shared" si="4"/>
        <v>25 DE MAYO Y JUANA DE ARCO 101; Tres de Febrero; Argentina</v>
      </c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6" t="s">
        <v>828</v>
      </c>
      <c r="B236" s="6" t="s">
        <v>40</v>
      </c>
      <c r="C236" s="6" t="s">
        <v>831</v>
      </c>
      <c r="D236" s="13"/>
      <c r="E236" s="13" t="s">
        <v>832</v>
      </c>
      <c r="F236" s="9">
        <v>-58.5381027</v>
      </c>
      <c r="G236" s="25">
        <v>-34.6290188</v>
      </c>
      <c r="H236" s="9"/>
      <c r="I236" s="13" t="s">
        <v>707</v>
      </c>
      <c r="J236" s="9"/>
      <c r="K236" s="7" t="s">
        <v>21</v>
      </c>
      <c r="L236" s="10"/>
      <c r="M236" s="10"/>
      <c r="N236" s="10"/>
      <c r="O236" s="10" t="str">
        <f t="shared" si="4"/>
        <v>GRAL ROCA E/ PASO Y MADERO 3460; Tres de Febrero; Argentina</v>
      </c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6" t="s">
        <v>833</v>
      </c>
      <c r="B237" s="6" t="s">
        <v>40</v>
      </c>
      <c r="C237" s="6" t="s">
        <v>834</v>
      </c>
      <c r="D237" s="13"/>
      <c r="E237" s="13" t="s">
        <v>835</v>
      </c>
      <c r="F237" s="9">
        <v>-58.5460809</v>
      </c>
      <c r="G237" s="25">
        <v>-34.6367053</v>
      </c>
      <c r="H237" s="9"/>
      <c r="I237" s="13" t="s">
        <v>707</v>
      </c>
      <c r="J237" s="9"/>
      <c r="K237" s="7" t="s">
        <v>21</v>
      </c>
      <c r="L237" s="10"/>
      <c r="M237" s="10"/>
      <c r="N237" s="10"/>
      <c r="O237" s="10" t="str">
        <f t="shared" si="4"/>
        <v>AV. ITALIA 4251; Tres de Febrero; Argentina</v>
      </c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6" t="s">
        <v>836</v>
      </c>
      <c r="B238" s="6" t="s">
        <v>329</v>
      </c>
      <c r="C238" s="6" t="s">
        <v>834</v>
      </c>
      <c r="D238" s="13"/>
      <c r="E238" s="13" t="s">
        <v>835</v>
      </c>
      <c r="F238" s="9">
        <v>-58.5460809</v>
      </c>
      <c r="G238" s="25">
        <v>-34.6367053</v>
      </c>
      <c r="H238" s="9"/>
      <c r="I238" s="13" t="s">
        <v>707</v>
      </c>
      <c r="J238" s="9"/>
      <c r="K238" s="7" t="s">
        <v>21</v>
      </c>
      <c r="L238" s="10"/>
      <c r="M238" s="10"/>
      <c r="N238" s="10"/>
      <c r="O238" s="10" t="str">
        <f t="shared" si="4"/>
        <v>AV. ITALIA 4251; Tres de Febrero; Argentina</v>
      </c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6" t="s">
        <v>837</v>
      </c>
      <c r="B239" s="6" t="s">
        <v>40</v>
      </c>
      <c r="C239" s="6" t="s">
        <v>838</v>
      </c>
      <c r="D239" s="13"/>
      <c r="E239" s="13" t="s">
        <v>839</v>
      </c>
      <c r="F239" s="9">
        <v>-58.5403244</v>
      </c>
      <c r="G239" s="25">
        <v>-34.637197</v>
      </c>
      <c r="H239" s="9"/>
      <c r="I239" s="13" t="s">
        <v>707</v>
      </c>
      <c r="J239" s="9"/>
      <c r="K239" s="7" t="s">
        <v>21</v>
      </c>
      <c r="L239" s="10"/>
      <c r="M239" s="10"/>
      <c r="N239" s="10"/>
      <c r="O239" s="10" t="str">
        <f t="shared" si="4"/>
        <v>SAAVEDRA 3848; Tres de Febrero; Argentina</v>
      </c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6" t="s">
        <v>840</v>
      </c>
      <c r="B240" s="6" t="s">
        <v>40</v>
      </c>
      <c r="C240" s="6" t="s">
        <v>841</v>
      </c>
      <c r="D240" s="13"/>
      <c r="E240" s="13" t="s">
        <v>842</v>
      </c>
      <c r="F240" s="9">
        <v>-58.5485124</v>
      </c>
      <c r="G240" s="25">
        <v>-34.6330673</v>
      </c>
      <c r="H240" s="9"/>
      <c r="I240" s="13" t="s">
        <v>707</v>
      </c>
      <c r="J240" s="9"/>
      <c r="K240" s="7" t="s">
        <v>21</v>
      </c>
      <c r="L240" s="10"/>
      <c r="M240" s="10"/>
      <c r="N240" s="10"/>
      <c r="O240" s="10" t="str">
        <f t="shared" si="4"/>
        <v>C.PELLEGRINI 4357; Tres de Febrero; Argentina</v>
      </c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6" t="s">
        <v>843</v>
      </c>
      <c r="B241" s="6" t="s">
        <v>216</v>
      </c>
      <c r="C241" s="6" t="s">
        <v>844</v>
      </c>
      <c r="D241" s="13"/>
      <c r="E241" s="13" t="s">
        <v>830</v>
      </c>
      <c r="F241" s="9"/>
      <c r="G241" s="25"/>
      <c r="H241" s="9"/>
      <c r="I241" s="13" t="s">
        <v>707</v>
      </c>
      <c r="J241" s="9"/>
      <c r="K241" s="13"/>
      <c r="L241" s="9"/>
      <c r="M241" s="9"/>
      <c r="N241" s="9"/>
      <c r="O241" s="10" t="str">
        <f t="shared" si="4"/>
        <v>25 DE MAYO Y JUANA DE ARCO 101; Tres de Febrero; Argentina</v>
      </c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6" t="s">
        <v>845</v>
      </c>
      <c r="B242" s="6" t="s">
        <v>40</v>
      </c>
      <c r="C242" s="6" t="s">
        <v>846</v>
      </c>
      <c r="D242" s="13"/>
      <c r="E242" s="13" t="s">
        <v>847</v>
      </c>
      <c r="F242" s="9"/>
      <c r="G242" s="25"/>
      <c r="H242" s="9"/>
      <c r="I242" s="13" t="s">
        <v>707</v>
      </c>
      <c r="J242" s="9"/>
      <c r="K242" s="13"/>
      <c r="L242" s="9"/>
      <c r="M242" s="9"/>
      <c r="N242" s="9"/>
      <c r="O242" s="10" t="str">
        <f t="shared" si="4"/>
        <v>MAIPU 3737; Tres de Febrero; Argentina</v>
      </c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6" t="s">
        <v>848</v>
      </c>
      <c r="B243" s="6" t="s">
        <v>329</v>
      </c>
      <c r="C243" s="6" t="s">
        <v>849</v>
      </c>
      <c r="D243" s="13"/>
      <c r="E243" s="13" t="s">
        <v>850</v>
      </c>
      <c r="F243" s="9"/>
      <c r="G243" s="25"/>
      <c r="H243" s="9"/>
      <c r="I243" s="13" t="s">
        <v>707</v>
      </c>
      <c r="J243" s="9"/>
      <c r="K243" s="13"/>
      <c r="L243" s="9"/>
      <c r="M243" s="9"/>
      <c r="N243" s="9"/>
      <c r="O243" s="10" t="str">
        <f t="shared" si="4"/>
        <v>GAZETA DE BS AS E/25 DE MAYO Y CHACABU 3855; Tres de Febrero; Argentina</v>
      </c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6" t="s">
        <v>851</v>
      </c>
      <c r="B244" s="6" t="s">
        <v>40</v>
      </c>
      <c r="C244" s="6" t="s">
        <v>852</v>
      </c>
      <c r="D244" s="13"/>
      <c r="E244" s="13" t="s">
        <v>853</v>
      </c>
      <c r="F244" s="9">
        <v>-58.5395967</v>
      </c>
      <c r="G244" s="25">
        <v>-34.6198518</v>
      </c>
      <c r="H244" s="9"/>
      <c r="I244" s="13" t="s">
        <v>707</v>
      </c>
      <c r="J244" s="9"/>
      <c r="K244" s="7" t="s">
        <v>21</v>
      </c>
      <c r="L244" s="10"/>
      <c r="M244" s="10"/>
      <c r="N244" s="10"/>
      <c r="O244" s="10" t="str">
        <f t="shared" si="4"/>
        <v>HIPOLITO YRIGOYEN 1661; Tres de Febrero; Argentina</v>
      </c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ht="24.0" customHeight="1">
      <c r="A245" s="6" t="s">
        <v>854</v>
      </c>
      <c r="B245" s="6" t="s">
        <v>329</v>
      </c>
      <c r="C245" s="6" t="s">
        <v>855</v>
      </c>
      <c r="D245" s="13"/>
      <c r="E245" s="13" t="s">
        <v>830</v>
      </c>
      <c r="F245" s="9"/>
      <c r="G245" s="25"/>
      <c r="H245" s="9"/>
      <c r="I245" s="13" t="s">
        <v>707</v>
      </c>
      <c r="J245" s="9"/>
      <c r="K245" s="13"/>
      <c r="L245" s="9"/>
      <c r="M245" s="9"/>
      <c r="N245" s="9"/>
      <c r="O245" s="10" t="str">
        <f t="shared" si="4"/>
        <v>25 DE MAYO Y JUANA DE ARCO 101; Tres de Febrero; Argentina</v>
      </c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ht="24.0" customHeight="1">
      <c r="A246" s="6" t="s">
        <v>856</v>
      </c>
      <c r="B246" s="6" t="s">
        <v>329</v>
      </c>
      <c r="C246" s="6" t="s">
        <v>857</v>
      </c>
      <c r="D246" s="13"/>
      <c r="E246" s="13" t="s">
        <v>858</v>
      </c>
      <c r="F246" s="9"/>
      <c r="G246" s="25"/>
      <c r="H246" s="9"/>
      <c r="I246" s="13" t="s">
        <v>707</v>
      </c>
      <c r="J246" s="9"/>
      <c r="K246" s="13"/>
      <c r="L246" s="9"/>
      <c r="M246" s="9"/>
      <c r="N246" s="9"/>
      <c r="O246" s="10" t="str">
        <f t="shared" si="4"/>
        <v>AV.GENERAL ROCA 3460; Tres de Febrero; Argentina</v>
      </c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ht="24.0" customHeight="1">
      <c r="A247" s="6" t="s">
        <v>859</v>
      </c>
      <c r="B247" s="6" t="s">
        <v>668</v>
      </c>
      <c r="C247" s="6" t="s">
        <v>860</v>
      </c>
      <c r="D247" s="13"/>
      <c r="E247" s="13" t="s">
        <v>830</v>
      </c>
      <c r="F247" s="9"/>
      <c r="G247" s="25"/>
      <c r="H247" s="9"/>
      <c r="I247" s="13" t="s">
        <v>707</v>
      </c>
      <c r="J247" s="9"/>
      <c r="K247" s="13"/>
      <c r="L247" s="9"/>
      <c r="M247" s="9"/>
      <c r="N247" s="9"/>
      <c r="O247" s="10" t="str">
        <f t="shared" si="4"/>
        <v>25 DE MAYO Y JUANA DE ARCO 101; Tres de Febrero; Argentina</v>
      </c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24.0" customHeight="1">
      <c r="A248" s="6" t="s">
        <v>861</v>
      </c>
      <c r="B248" s="6" t="s">
        <v>216</v>
      </c>
      <c r="C248" s="6" t="s">
        <v>862</v>
      </c>
      <c r="D248" s="13"/>
      <c r="E248" s="13" t="s">
        <v>863</v>
      </c>
      <c r="F248" s="9"/>
      <c r="G248" s="25"/>
      <c r="H248" s="9"/>
      <c r="I248" s="13" t="s">
        <v>707</v>
      </c>
      <c r="J248" s="9"/>
      <c r="K248" s="13"/>
      <c r="L248" s="9"/>
      <c r="M248" s="9"/>
      <c r="N248" s="9"/>
      <c r="O248" s="10" t="str">
        <f t="shared" si="4"/>
        <v>SAAVEDRA 3854; Tres de Febrero; Argentina</v>
      </c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ht="24.0" customHeight="1">
      <c r="A249" s="6" t="s">
        <v>864</v>
      </c>
      <c r="B249" s="6" t="s">
        <v>216</v>
      </c>
      <c r="C249" s="6" t="s">
        <v>865</v>
      </c>
      <c r="D249" s="13"/>
      <c r="E249" s="13" t="s">
        <v>866</v>
      </c>
      <c r="F249" s="9"/>
      <c r="G249" s="25"/>
      <c r="H249" s="9"/>
      <c r="I249" s="13" t="s">
        <v>707</v>
      </c>
      <c r="J249" s="9"/>
      <c r="K249" s="13"/>
      <c r="L249" s="9"/>
      <c r="M249" s="9"/>
      <c r="N249" s="9"/>
      <c r="O249" s="10" t="str">
        <f t="shared" si="4"/>
        <v>MONTEVIDEO 1993; Tres de Febrero; Argentina</v>
      </c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24.0" customHeight="1">
      <c r="A250" s="6" t="s">
        <v>867</v>
      </c>
      <c r="B250" s="6" t="s">
        <v>216</v>
      </c>
      <c r="C250" s="6" t="s">
        <v>868</v>
      </c>
      <c r="D250" s="13"/>
      <c r="E250" s="13" t="s">
        <v>869</v>
      </c>
      <c r="F250" s="9"/>
      <c r="G250" s="25"/>
      <c r="H250" s="9"/>
      <c r="I250" s="13" t="s">
        <v>707</v>
      </c>
      <c r="J250" s="9"/>
      <c r="K250" s="13"/>
      <c r="L250" s="9"/>
      <c r="M250" s="9"/>
      <c r="N250" s="9"/>
      <c r="O250" s="10" t="str">
        <f t="shared" si="4"/>
        <v>ELIZALDE 377; Tres de Febrero; Argentina</v>
      </c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24.0" customHeight="1">
      <c r="A251" s="6" t="s">
        <v>870</v>
      </c>
      <c r="B251" s="6" t="s">
        <v>216</v>
      </c>
      <c r="C251" s="6" t="s">
        <v>871</v>
      </c>
      <c r="D251" s="13"/>
      <c r="E251" s="13" t="s">
        <v>872</v>
      </c>
      <c r="F251" s="9"/>
      <c r="G251" s="25"/>
      <c r="H251" s="9"/>
      <c r="I251" s="13" t="s">
        <v>707</v>
      </c>
      <c r="J251" s="9"/>
      <c r="K251" s="13"/>
      <c r="L251" s="9"/>
      <c r="M251" s="9"/>
      <c r="N251" s="9"/>
      <c r="O251" s="10" t="str">
        <f t="shared" si="4"/>
        <v>SANTA JUANA DE ARCO 3728; Tres de Febrero; Argentina</v>
      </c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ht="24.0" customHeight="1">
      <c r="A252" s="6" t="s">
        <v>873</v>
      </c>
      <c r="B252" s="6" t="s">
        <v>216</v>
      </c>
      <c r="C252" s="6" t="s">
        <v>874</v>
      </c>
      <c r="D252" s="13"/>
      <c r="E252" s="13" t="s">
        <v>853</v>
      </c>
      <c r="F252" s="9">
        <v>-58.5395967</v>
      </c>
      <c r="G252" s="25">
        <v>-34.6198518</v>
      </c>
      <c r="H252" s="9"/>
      <c r="I252" s="13" t="s">
        <v>707</v>
      </c>
      <c r="J252" s="9"/>
      <c r="K252" s="7" t="s">
        <v>21</v>
      </c>
      <c r="L252" s="10"/>
      <c r="M252" s="10"/>
      <c r="N252" s="10"/>
      <c r="O252" s="10" t="str">
        <f t="shared" si="4"/>
        <v>HIPOLITO YRIGOYEN 1661; Tres de Febrero; Argentina</v>
      </c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24.0" customHeight="1">
      <c r="A253" s="6" t="s">
        <v>873</v>
      </c>
      <c r="B253" s="6" t="s">
        <v>216</v>
      </c>
      <c r="C253" s="6" t="s">
        <v>875</v>
      </c>
      <c r="D253" s="13"/>
      <c r="E253" s="13" t="s">
        <v>876</v>
      </c>
      <c r="F253" s="9"/>
      <c r="G253" s="25"/>
      <c r="H253" s="9"/>
      <c r="I253" s="13" t="s">
        <v>707</v>
      </c>
      <c r="J253" s="9"/>
      <c r="K253" s="13"/>
      <c r="L253" s="9"/>
      <c r="M253" s="9"/>
      <c r="N253" s="9"/>
      <c r="O253" s="10" t="str">
        <f t="shared" si="4"/>
        <v>CHACABUCO 874; Tres de Febrero; Argentina</v>
      </c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ht="24.0" customHeight="1">
      <c r="A254" s="6" t="s">
        <v>877</v>
      </c>
      <c r="B254" s="6" t="s">
        <v>216</v>
      </c>
      <c r="C254" s="6" t="s">
        <v>878</v>
      </c>
      <c r="D254" s="13"/>
      <c r="E254" s="13" t="s">
        <v>879</v>
      </c>
      <c r="F254" s="9"/>
      <c r="G254" s="25"/>
      <c r="H254" s="9"/>
      <c r="I254" s="13" t="s">
        <v>707</v>
      </c>
      <c r="J254" s="9"/>
      <c r="K254" s="13"/>
      <c r="L254" s="9"/>
      <c r="M254" s="9"/>
      <c r="N254" s="9"/>
      <c r="O254" s="10" t="str">
        <f t="shared" si="4"/>
        <v>JUAN KEPLER 3451; Tres de Febrero; Argentina</v>
      </c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ht="24.0" customHeight="1">
      <c r="A255" s="6" t="s">
        <v>799</v>
      </c>
      <c r="B255" s="6" t="s">
        <v>216</v>
      </c>
      <c r="C255" s="6" t="s">
        <v>880</v>
      </c>
      <c r="D255" s="13"/>
      <c r="E255" s="13" t="s">
        <v>881</v>
      </c>
      <c r="F255" s="9"/>
      <c r="G255" s="25"/>
      <c r="H255" s="9"/>
      <c r="I255" s="13" t="s">
        <v>707</v>
      </c>
      <c r="J255" s="9"/>
      <c r="K255" s="13"/>
      <c r="L255" s="9"/>
      <c r="M255" s="9"/>
      <c r="N255" s="9"/>
      <c r="O255" s="10" t="str">
        <f t="shared" si="4"/>
        <v>MISIONES 6460; Tres de Febrero; Argentina</v>
      </c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ht="24.0" customHeight="1">
      <c r="A256" s="6" t="s">
        <v>882</v>
      </c>
      <c r="B256" s="6" t="s">
        <v>40</v>
      </c>
      <c r="C256" s="6" t="s">
        <v>883</v>
      </c>
      <c r="D256" s="13"/>
      <c r="E256" s="13" t="s">
        <v>884</v>
      </c>
      <c r="F256" s="9">
        <v>-58.5335546</v>
      </c>
      <c r="G256" s="25">
        <v>-34.6203275</v>
      </c>
      <c r="H256" s="9"/>
      <c r="I256" s="13" t="s">
        <v>707</v>
      </c>
      <c r="J256" s="9"/>
      <c r="K256" s="7" t="s">
        <v>21</v>
      </c>
      <c r="L256" s="10"/>
      <c r="M256" s="10"/>
      <c r="N256" s="10"/>
      <c r="O256" s="10" t="str">
        <f t="shared" si="4"/>
        <v>EJERCITO DE LOS ANDES Y RICHIERI 1398; Tres de Febrero; Argentina</v>
      </c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ht="24.0" customHeight="1">
      <c r="A257" s="6" t="s">
        <v>885</v>
      </c>
      <c r="B257" s="6" t="s">
        <v>329</v>
      </c>
      <c r="C257" s="6" t="s">
        <v>883</v>
      </c>
      <c r="D257" s="13"/>
      <c r="E257" s="13" t="s">
        <v>884</v>
      </c>
      <c r="F257" s="9">
        <v>-58.5335546</v>
      </c>
      <c r="G257" s="25">
        <v>-34.6203275</v>
      </c>
      <c r="H257" s="9"/>
      <c r="I257" s="13" t="s">
        <v>707</v>
      </c>
      <c r="J257" s="9"/>
      <c r="K257" s="7" t="s">
        <v>21</v>
      </c>
      <c r="L257" s="10"/>
      <c r="M257" s="10"/>
      <c r="N257" s="10"/>
      <c r="O257" s="10" t="str">
        <f t="shared" si="4"/>
        <v>EJERCITO DE LOS ANDES Y RICHIERI 1398; Tres de Febrero; Argentina</v>
      </c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ht="24.0" customHeight="1">
      <c r="A258" s="6" t="s">
        <v>886</v>
      </c>
      <c r="B258" s="6" t="s">
        <v>216</v>
      </c>
      <c r="C258" s="6" t="s">
        <v>887</v>
      </c>
      <c r="D258" s="13"/>
      <c r="E258" s="13" t="s">
        <v>888</v>
      </c>
      <c r="F258" s="9"/>
      <c r="G258" s="25"/>
      <c r="H258" s="9"/>
      <c r="I258" s="13" t="s">
        <v>707</v>
      </c>
      <c r="J258" s="9"/>
      <c r="K258" s="13"/>
      <c r="L258" s="9"/>
      <c r="M258" s="9"/>
      <c r="N258" s="9"/>
      <c r="O258" s="10" t="str">
        <f t="shared" si="4"/>
        <v>RICHIERI 2632; Tres de Febrero; Argentina</v>
      </c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ht="24.0" customHeight="1">
      <c r="A259" s="6" t="s">
        <v>889</v>
      </c>
      <c r="B259" s="6" t="s">
        <v>40</v>
      </c>
      <c r="C259" s="6" t="s">
        <v>890</v>
      </c>
      <c r="D259" s="13"/>
      <c r="E259" s="13" t="s">
        <v>891</v>
      </c>
      <c r="F259" s="9">
        <v>-58.591866</v>
      </c>
      <c r="G259" s="25">
        <v>-34.5699497</v>
      </c>
      <c r="H259" s="9"/>
      <c r="I259" s="13" t="s">
        <v>707</v>
      </c>
      <c r="J259" s="9"/>
      <c r="K259" s="7" t="s">
        <v>21</v>
      </c>
      <c r="L259" s="10"/>
      <c r="M259" s="10"/>
      <c r="N259" s="10"/>
      <c r="O259" s="10" t="str">
        <f t="shared" si="4"/>
        <v>AV MARQUEZ E/ LAVALLE Y CONGRESO 745; Tres de Febrero; Argentina</v>
      </c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ht="24.0" customHeight="1">
      <c r="A260" s="6" t="s">
        <v>892</v>
      </c>
      <c r="B260" s="6" t="s">
        <v>329</v>
      </c>
      <c r="C260" s="6" t="s">
        <v>890</v>
      </c>
      <c r="D260" s="13"/>
      <c r="E260" s="13" t="s">
        <v>891</v>
      </c>
      <c r="F260" s="9">
        <v>-58.591866</v>
      </c>
      <c r="G260" s="25">
        <v>-34.5699497</v>
      </c>
      <c r="H260" s="9"/>
      <c r="I260" s="13" t="s">
        <v>707</v>
      </c>
      <c r="J260" s="9"/>
      <c r="K260" s="7" t="s">
        <v>21</v>
      </c>
      <c r="L260" s="10"/>
      <c r="M260" s="10"/>
      <c r="N260" s="10"/>
      <c r="O260" s="10" t="str">
        <f t="shared" si="4"/>
        <v>AV MARQUEZ E/ LAVALLE Y CONGRESO 745; Tres de Febrero; Argentina</v>
      </c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ht="24.0" customHeight="1">
      <c r="A261" s="6" t="s">
        <v>893</v>
      </c>
      <c r="B261" s="6" t="s">
        <v>40</v>
      </c>
      <c r="C261" s="6" t="s">
        <v>894</v>
      </c>
      <c r="D261" s="13"/>
      <c r="E261" s="13" t="s">
        <v>895</v>
      </c>
      <c r="F261" s="9"/>
      <c r="G261" s="25"/>
      <c r="H261" s="9"/>
      <c r="I261" s="13" t="s">
        <v>707</v>
      </c>
      <c r="J261" s="9"/>
      <c r="K261" s="13"/>
      <c r="L261" s="9"/>
      <c r="M261" s="9"/>
      <c r="N261" s="9"/>
      <c r="O261" s="10" t="str">
        <f t="shared" si="4"/>
        <v>RUTA 8 KM.22 E/ CHURRUCA Y CASTELAR. 10046; Tres de Febrero; Argentina</v>
      </c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ht="24.0" customHeight="1">
      <c r="A262" s="6" t="s">
        <v>896</v>
      </c>
      <c r="B262" s="6" t="s">
        <v>40</v>
      </c>
      <c r="C262" s="6" t="s">
        <v>897</v>
      </c>
      <c r="D262" s="13"/>
      <c r="E262" s="13" t="s">
        <v>898</v>
      </c>
      <c r="F262" s="9">
        <v>-58.5972417</v>
      </c>
      <c r="G262" s="25">
        <v>-34.5656077</v>
      </c>
      <c r="H262" s="9"/>
      <c r="I262" s="13" t="s">
        <v>707</v>
      </c>
      <c r="J262" s="9"/>
      <c r="K262" s="7" t="s">
        <v>21</v>
      </c>
      <c r="L262" s="10"/>
      <c r="M262" s="10"/>
      <c r="N262" s="10"/>
      <c r="O262" s="10" t="str">
        <f t="shared" si="4"/>
        <v>MAGALDI 729; Tres de Febrero; Argentina</v>
      </c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ht="24.0" customHeight="1">
      <c r="A263" s="6" t="s">
        <v>899</v>
      </c>
      <c r="B263" s="6" t="s">
        <v>216</v>
      </c>
      <c r="C263" s="6" t="s">
        <v>900</v>
      </c>
      <c r="D263" s="13"/>
      <c r="E263" s="13" t="s">
        <v>901</v>
      </c>
      <c r="F263" s="9"/>
      <c r="G263" s="25"/>
      <c r="H263" s="9"/>
      <c r="I263" s="13" t="s">
        <v>707</v>
      </c>
      <c r="J263" s="9"/>
      <c r="K263" s="13"/>
      <c r="L263" s="9"/>
      <c r="M263" s="9"/>
      <c r="N263" s="9"/>
      <c r="O263" s="10" t="str">
        <f t="shared" si="4"/>
        <v>MARIQUITA S. THOMPSON 638; Tres de Febrero; Argentina</v>
      </c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ht="24.0" customHeight="1">
      <c r="A264" s="6" t="s">
        <v>902</v>
      </c>
      <c r="B264" s="6" t="s">
        <v>216</v>
      </c>
      <c r="C264" s="6" t="s">
        <v>903</v>
      </c>
      <c r="D264" s="13"/>
      <c r="E264" s="13" t="s">
        <v>904</v>
      </c>
      <c r="F264" s="9"/>
      <c r="G264" s="25"/>
      <c r="H264" s="9"/>
      <c r="I264" s="13" t="s">
        <v>707</v>
      </c>
      <c r="J264" s="9"/>
      <c r="K264" s="13"/>
      <c r="L264" s="9"/>
      <c r="M264" s="9"/>
      <c r="N264" s="9"/>
      <c r="O264" s="10" t="str">
        <f t="shared" si="4"/>
        <v>AVENIDA MARQUEZ 775; Tres de Febrero; Argentina</v>
      </c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ht="24.0" customHeight="1">
      <c r="A265" s="6"/>
      <c r="B265" s="6" t="s">
        <v>216</v>
      </c>
      <c r="C265" s="6" t="s">
        <v>905</v>
      </c>
      <c r="D265" s="13"/>
      <c r="E265" s="13" t="s">
        <v>906</v>
      </c>
      <c r="F265" s="9"/>
      <c r="G265" s="25"/>
      <c r="H265" s="9"/>
      <c r="I265" s="13" t="s">
        <v>707</v>
      </c>
      <c r="J265" s="9"/>
      <c r="K265" s="13" t="s">
        <v>907</v>
      </c>
      <c r="L265" s="9"/>
      <c r="M265" s="9"/>
      <c r="N265" s="9"/>
      <c r="O265" s="10" t="str">
        <f t="shared" si="4"/>
        <v>GABINO EZEIZA 9393; Tres de Febrero; Argentina</v>
      </c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ht="24.0" customHeight="1">
      <c r="A266" s="6" t="s">
        <v>908</v>
      </c>
      <c r="B266" s="6" t="s">
        <v>329</v>
      </c>
      <c r="C266" s="6" t="s">
        <v>909</v>
      </c>
      <c r="D266" s="13"/>
      <c r="E266" s="13" t="s">
        <v>910</v>
      </c>
      <c r="F266" s="9"/>
      <c r="G266" s="25"/>
      <c r="H266" s="9"/>
      <c r="I266" s="13" t="s">
        <v>707</v>
      </c>
      <c r="J266" s="9"/>
      <c r="K266" s="13"/>
      <c r="L266" s="9"/>
      <c r="M266" s="9"/>
      <c r="N266" s="9"/>
      <c r="O266" s="10" t="str">
        <f t="shared" si="4"/>
        <v>LEANDRO N. ALEM 7226; Tres de Febrero; Argentina</v>
      </c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ht="24.0" customHeight="1">
      <c r="A267" s="6" t="s">
        <v>911</v>
      </c>
      <c r="B267" s="6" t="s">
        <v>40</v>
      </c>
      <c r="C267" s="6" t="s">
        <v>912</v>
      </c>
      <c r="D267" s="13"/>
      <c r="E267" s="13" t="s">
        <v>913</v>
      </c>
      <c r="F267" s="9">
        <v>-58.5933603</v>
      </c>
      <c r="G267" s="25">
        <v>-34.5850429</v>
      </c>
      <c r="H267" s="9"/>
      <c r="I267" s="13" t="s">
        <v>707</v>
      </c>
      <c r="J267" s="9"/>
      <c r="K267" s="7" t="s">
        <v>21</v>
      </c>
      <c r="L267" s="10"/>
      <c r="M267" s="10"/>
      <c r="N267" s="10"/>
      <c r="O267" s="10" t="str">
        <f t="shared" si="4"/>
        <v>LEANDRO ALEM E/ SAN RAMON Y 12 DE OCT. 7226; Tres de Febrero; Argentina</v>
      </c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ht="24.0" customHeight="1">
      <c r="A268" s="6" t="s">
        <v>914</v>
      </c>
      <c r="B268" s="6" t="s">
        <v>40</v>
      </c>
      <c r="C268" s="6" t="s">
        <v>915</v>
      </c>
      <c r="D268" s="13"/>
      <c r="E268" s="13" t="s">
        <v>916</v>
      </c>
      <c r="F268" s="9">
        <v>-58.5837353</v>
      </c>
      <c r="G268" s="25">
        <v>-34.5900904</v>
      </c>
      <c r="H268" s="9"/>
      <c r="I268" s="13" t="s">
        <v>707</v>
      </c>
      <c r="J268" s="9"/>
      <c r="K268" s="7" t="s">
        <v>21</v>
      </c>
      <c r="L268" s="10"/>
      <c r="M268" s="10"/>
      <c r="N268" s="10"/>
      <c r="O268" s="10" t="str">
        <f t="shared" si="4"/>
        <v>PANAMA Y GARICOITS 6184; Tres de Febrero; Argentina</v>
      </c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ht="24.0" customHeight="1">
      <c r="A269" s="6" t="s">
        <v>917</v>
      </c>
      <c r="B269" s="6" t="s">
        <v>329</v>
      </c>
      <c r="C269" s="6" t="s">
        <v>915</v>
      </c>
      <c r="D269" s="13"/>
      <c r="E269" s="13" t="s">
        <v>916</v>
      </c>
      <c r="F269" s="9">
        <v>-58.5837353</v>
      </c>
      <c r="G269" s="25">
        <v>-34.5900904</v>
      </c>
      <c r="H269" s="9"/>
      <c r="I269" s="13" t="s">
        <v>707</v>
      </c>
      <c r="J269" s="9"/>
      <c r="K269" s="7" t="s">
        <v>21</v>
      </c>
      <c r="L269" s="10"/>
      <c r="M269" s="10"/>
      <c r="N269" s="10"/>
      <c r="O269" s="10" t="str">
        <f t="shared" si="4"/>
        <v>PANAMA Y GARICOITS 6184; Tres de Febrero; Argentina</v>
      </c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ht="24.0" customHeight="1">
      <c r="A270" s="6" t="s">
        <v>918</v>
      </c>
      <c r="B270" s="6" t="s">
        <v>329</v>
      </c>
      <c r="C270" s="6" t="s">
        <v>919</v>
      </c>
      <c r="D270" s="13"/>
      <c r="E270" s="13" t="s">
        <v>920</v>
      </c>
      <c r="F270" s="9"/>
      <c r="G270" s="25"/>
      <c r="H270" s="9"/>
      <c r="I270" s="13" t="s">
        <v>707</v>
      </c>
      <c r="J270" s="9"/>
      <c r="K270" s="13"/>
      <c r="L270" s="9"/>
      <c r="M270" s="9"/>
      <c r="N270" s="9"/>
      <c r="O270" s="10" t="str">
        <f t="shared" si="4"/>
        <v>NAHUEL HUAPI 6658; Tres de Febrero; Argentina</v>
      </c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ht="24.0" customHeight="1">
      <c r="A271" s="6" t="s">
        <v>921</v>
      </c>
      <c r="B271" s="6" t="s">
        <v>216</v>
      </c>
      <c r="C271" s="6" t="s">
        <v>922</v>
      </c>
      <c r="D271" s="13"/>
      <c r="E271" s="13" t="s">
        <v>923</v>
      </c>
      <c r="F271" s="9"/>
      <c r="G271" s="25"/>
      <c r="H271" s="9"/>
      <c r="I271" s="13" t="s">
        <v>707</v>
      </c>
      <c r="J271" s="9"/>
      <c r="K271" s="13"/>
      <c r="L271" s="9"/>
      <c r="M271" s="9"/>
      <c r="N271" s="9"/>
      <c r="O271" s="10" t="str">
        <f t="shared" si="4"/>
        <v>JUJUY 2070; Tres de Febrero; Argentina</v>
      </c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ht="24.0" customHeight="1">
      <c r="A272" s="6" t="s">
        <v>924</v>
      </c>
      <c r="B272" s="6" t="s">
        <v>216</v>
      </c>
      <c r="C272" s="6" t="s">
        <v>925</v>
      </c>
      <c r="D272" s="13"/>
      <c r="E272" s="13" t="s">
        <v>926</v>
      </c>
      <c r="F272" s="9"/>
      <c r="G272" s="25"/>
      <c r="H272" s="9"/>
      <c r="I272" s="13" t="s">
        <v>707</v>
      </c>
      <c r="J272" s="9"/>
      <c r="K272" s="13"/>
      <c r="L272" s="9"/>
      <c r="M272" s="9"/>
      <c r="N272" s="9"/>
      <c r="O272" s="10" t="str">
        <f t="shared" si="4"/>
        <v>LEANDRO L. ALEM 7226; Tres de Febrero; Argentina</v>
      </c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ht="24.0" customHeight="1">
      <c r="A273" s="6" t="s">
        <v>927</v>
      </c>
      <c r="B273" s="6" t="s">
        <v>216</v>
      </c>
      <c r="C273" s="6" t="s">
        <v>928</v>
      </c>
      <c r="D273" s="13"/>
      <c r="E273" s="13" t="s">
        <v>929</v>
      </c>
      <c r="F273" s="9"/>
      <c r="G273" s="25"/>
      <c r="H273" s="9"/>
      <c r="I273" s="13" t="s">
        <v>707</v>
      </c>
      <c r="J273" s="9"/>
      <c r="K273" s="13"/>
      <c r="L273" s="9"/>
      <c r="M273" s="9"/>
      <c r="N273" s="9"/>
      <c r="O273" s="10" t="str">
        <f t="shared" si="4"/>
        <v>PANAMA 6184; Tres de Febrero; Argentina</v>
      </c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ht="24.0" customHeight="1">
      <c r="A274" s="6" t="s">
        <v>930</v>
      </c>
      <c r="B274" s="6" t="s">
        <v>216</v>
      </c>
      <c r="C274" s="6" t="s">
        <v>931</v>
      </c>
      <c r="D274" s="13"/>
      <c r="E274" s="13" t="s">
        <v>932</v>
      </c>
      <c r="F274" s="9"/>
      <c r="G274" s="25"/>
      <c r="H274" s="9"/>
      <c r="I274" s="13" t="s">
        <v>707</v>
      </c>
      <c r="J274" s="9"/>
      <c r="K274" s="13"/>
      <c r="L274" s="9"/>
      <c r="M274" s="9"/>
      <c r="N274" s="9"/>
      <c r="O274" s="10" t="str">
        <f t="shared" si="4"/>
        <v>SOLDADO CABALLERO 8333; Tres de Febrero; Argentina</v>
      </c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ht="24.0" customHeight="1">
      <c r="A275" s="6" t="s">
        <v>933</v>
      </c>
      <c r="B275" s="6" t="s">
        <v>40</v>
      </c>
      <c r="C275" s="6" t="s">
        <v>934</v>
      </c>
      <c r="D275" s="13"/>
      <c r="E275" s="13" t="s">
        <v>935</v>
      </c>
      <c r="F275" s="9">
        <v>-58.5281618</v>
      </c>
      <c r="G275" s="25">
        <v>-34.6050021</v>
      </c>
      <c r="H275" s="9"/>
      <c r="I275" s="13" t="s">
        <v>707</v>
      </c>
      <c r="J275" s="9"/>
      <c r="K275" s="7" t="s">
        <v>21</v>
      </c>
      <c r="L275" s="10"/>
      <c r="M275" s="10"/>
      <c r="N275" s="10"/>
      <c r="O275" s="10" t="str">
        <f t="shared" si="4"/>
        <v>NTRA SRA DEL CARMEN E/S.PEDRO Y FERNAN 2405; Tres de Febrero; Argentina</v>
      </c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ht="24.0" customHeight="1">
      <c r="A276" s="6" t="s">
        <v>936</v>
      </c>
      <c r="B276" s="6" t="s">
        <v>40</v>
      </c>
      <c r="C276" s="6" t="s">
        <v>937</v>
      </c>
      <c r="D276" s="13"/>
      <c r="E276" s="13" t="s">
        <v>938</v>
      </c>
      <c r="F276" s="9">
        <v>-58.5334607</v>
      </c>
      <c r="G276" s="25">
        <v>-34.5976084</v>
      </c>
      <c r="H276" s="9"/>
      <c r="I276" s="13" t="s">
        <v>707</v>
      </c>
      <c r="J276" s="9"/>
      <c r="K276" s="7" t="s">
        <v>21</v>
      </c>
      <c r="L276" s="10"/>
      <c r="M276" s="10"/>
      <c r="N276" s="10"/>
      <c r="O276" s="10" t="str">
        <f t="shared" si="4"/>
        <v>ESTRADA E/ S. PEÑA Y AMEGHINO 745; Tres de Febrero; Argentina</v>
      </c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ht="24.0" customHeight="1">
      <c r="A277" s="6" t="s">
        <v>939</v>
      </c>
      <c r="B277" s="6" t="s">
        <v>40</v>
      </c>
      <c r="C277" s="6" t="s">
        <v>940</v>
      </c>
      <c r="D277" s="13"/>
      <c r="E277" s="13" t="s">
        <v>941</v>
      </c>
      <c r="F277" s="9"/>
      <c r="G277" s="25"/>
      <c r="H277" s="9"/>
      <c r="I277" s="13" t="s">
        <v>707</v>
      </c>
      <c r="J277" s="9"/>
      <c r="K277" s="13"/>
      <c r="L277" s="9"/>
      <c r="M277" s="9"/>
      <c r="N277" s="9"/>
      <c r="O277" s="10" t="str">
        <f t="shared" si="4"/>
        <v>CHILE 1246 VILLA RAFFO; Tres de Febrero; Argentina</v>
      </c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ht="24.0" customHeight="1">
      <c r="A278" s="6" t="s">
        <v>942</v>
      </c>
      <c r="B278" s="6" t="s">
        <v>40</v>
      </c>
      <c r="C278" s="6" t="s">
        <v>943</v>
      </c>
      <c r="D278" s="13"/>
      <c r="E278" s="13" t="s">
        <v>944</v>
      </c>
      <c r="F278" s="9">
        <v>-58.5305709</v>
      </c>
      <c r="G278" s="25">
        <v>-34.6052217</v>
      </c>
      <c r="H278" s="9"/>
      <c r="I278" s="13" t="s">
        <v>707</v>
      </c>
      <c r="J278" s="9"/>
      <c r="K278" s="7" t="s">
        <v>21</v>
      </c>
      <c r="L278" s="10"/>
      <c r="M278" s="10"/>
      <c r="N278" s="10"/>
      <c r="O278" s="10" t="str">
        <f t="shared" si="4"/>
        <v>CHILE 1246; Tres de Febrero; Argentina</v>
      </c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ht="24.0" customHeight="1">
      <c r="A279" s="6" t="s">
        <v>945</v>
      </c>
      <c r="B279" s="6" t="s">
        <v>329</v>
      </c>
      <c r="C279" s="6" t="s">
        <v>946</v>
      </c>
      <c r="D279" s="13"/>
      <c r="E279" s="13" t="s">
        <v>947</v>
      </c>
      <c r="F279" s="9"/>
      <c r="G279" s="25"/>
      <c r="H279" s="9"/>
      <c r="I279" s="13" t="s">
        <v>707</v>
      </c>
      <c r="J279" s="9"/>
      <c r="K279" s="13"/>
      <c r="L279" s="9"/>
      <c r="M279" s="9"/>
      <c r="N279" s="9"/>
      <c r="O279" s="10" t="str">
        <f t="shared" si="4"/>
        <v>NTRA.SRA.DEL CARMEN 2405 VILLA RAFFO; Tres de Febrero; Argentina</v>
      </c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ht="24.0" customHeight="1">
      <c r="A280" s="6" t="s">
        <v>948</v>
      </c>
      <c r="B280" s="6" t="s">
        <v>40</v>
      </c>
      <c r="C280" s="6" t="s">
        <v>949</v>
      </c>
      <c r="D280" s="13"/>
      <c r="E280" s="13" t="s">
        <v>950</v>
      </c>
      <c r="F280" s="9"/>
      <c r="G280" s="25"/>
      <c r="H280" s="9"/>
      <c r="I280" s="13" t="s">
        <v>707</v>
      </c>
      <c r="J280" s="9"/>
      <c r="K280" s="13"/>
      <c r="L280" s="9"/>
      <c r="M280" s="9"/>
      <c r="N280" s="9"/>
      <c r="O280" s="10" t="str">
        <f t="shared" si="4"/>
        <v>NUESTRA SEÑORA DEL CARMEN 2366; Tres de Febrero; Argentina</v>
      </c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ht="24.0" customHeight="1">
      <c r="A281" s="6" t="s">
        <v>951</v>
      </c>
      <c r="B281" s="6" t="s">
        <v>329</v>
      </c>
      <c r="C281" s="6" t="s">
        <v>949</v>
      </c>
      <c r="D281" s="13"/>
      <c r="E281" s="13" t="s">
        <v>952</v>
      </c>
      <c r="F281" s="9">
        <v>-58.5276898</v>
      </c>
      <c r="G281" s="25">
        <v>-34.6055372</v>
      </c>
      <c r="H281" s="9"/>
      <c r="I281" s="13" t="s">
        <v>707</v>
      </c>
      <c r="J281" s="9"/>
      <c r="K281" s="7" t="s">
        <v>21</v>
      </c>
      <c r="L281" s="10"/>
      <c r="M281" s="10"/>
      <c r="N281" s="10"/>
      <c r="O281" s="10" t="str">
        <f t="shared" si="4"/>
        <v>NUESTRA SRA.DEL CARMEN 2366; Tres de Febrero; Argentina</v>
      </c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ht="24.0" customHeight="1">
      <c r="A282" s="6" t="s">
        <v>953</v>
      </c>
      <c r="B282" s="6" t="s">
        <v>216</v>
      </c>
      <c r="C282" s="6" t="s">
        <v>954</v>
      </c>
      <c r="D282" s="13"/>
      <c r="E282" s="13" t="s">
        <v>955</v>
      </c>
      <c r="F282" s="9"/>
      <c r="G282" s="25"/>
      <c r="H282" s="9"/>
      <c r="I282" s="13" t="s">
        <v>707</v>
      </c>
      <c r="J282" s="9"/>
      <c r="K282" s="13"/>
      <c r="L282" s="9"/>
      <c r="M282" s="9"/>
      <c r="N282" s="9"/>
      <c r="O282" s="10" t="str">
        <f t="shared" si="4"/>
        <v>CHILE 1265 VILLA RAFFO; Tres de Febrero; Argentina</v>
      </c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ht="24.0" customHeight="1">
      <c r="A283" s="6" t="s">
        <v>956</v>
      </c>
      <c r="B283" s="6" t="s">
        <v>668</v>
      </c>
      <c r="C283" s="6" t="s">
        <v>957</v>
      </c>
      <c r="D283" s="13"/>
      <c r="E283" s="13" t="s">
        <v>958</v>
      </c>
      <c r="F283" s="9"/>
      <c r="G283" s="25"/>
      <c r="H283" s="9"/>
      <c r="I283" s="13" t="s">
        <v>707</v>
      </c>
      <c r="J283" s="9"/>
      <c r="K283" s="13"/>
      <c r="L283" s="9"/>
      <c r="M283" s="9"/>
      <c r="N283" s="9"/>
      <c r="O283" s="10" t="str">
        <f t="shared" si="4"/>
        <v>SEVERINO LANGERI 3670; Tres de Febrero; Argentina</v>
      </c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24.0" customHeight="1">
      <c r="A284" s="6" t="s">
        <v>959</v>
      </c>
      <c r="B284" s="6" t="s">
        <v>40</v>
      </c>
      <c r="C284" s="6" t="s">
        <v>960</v>
      </c>
      <c r="D284" s="13"/>
      <c r="E284" s="13" t="s">
        <v>961</v>
      </c>
      <c r="F284" s="9"/>
      <c r="G284" s="25"/>
      <c r="H284" s="9"/>
      <c r="I284" s="13" t="s">
        <v>707</v>
      </c>
      <c r="J284" s="9"/>
      <c r="K284" s="13"/>
      <c r="L284" s="9"/>
      <c r="M284" s="9"/>
      <c r="N284" s="9"/>
      <c r="O284" s="10" t="str">
        <f t="shared" si="4"/>
        <v>AV. LA PLATA E/ CANEPA Y SAN CARLOS 3851; Tres de Febrero; Argentina</v>
      </c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24.0" customHeight="1">
      <c r="A285" s="6" t="s">
        <v>962</v>
      </c>
      <c r="B285" s="6" t="s">
        <v>329</v>
      </c>
      <c r="C285" s="6" t="s">
        <v>963</v>
      </c>
      <c r="D285" s="13"/>
      <c r="E285" s="13" t="s">
        <v>964</v>
      </c>
      <c r="F285" s="9">
        <v>-58.5460801</v>
      </c>
      <c r="G285" s="25">
        <v>-34.5961132</v>
      </c>
      <c r="H285" s="9"/>
      <c r="I285" s="13" t="s">
        <v>707</v>
      </c>
      <c r="J285" s="9"/>
      <c r="K285" s="7" t="s">
        <v>21</v>
      </c>
      <c r="L285" s="10"/>
      <c r="M285" s="10"/>
      <c r="N285" s="10"/>
      <c r="O285" s="10" t="str">
        <f t="shared" si="4"/>
        <v>A.CARBONE E/ SAN CARLOS Y CANEPA 3862; Tres de Febrero; Argentina</v>
      </c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24.0" customHeight="1">
      <c r="A286" s="6" t="s">
        <v>965</v>
      </c>
      <c r="B286" s="6" t="s">
        <v>40</v>
      </c>
      <c r="C286" s="6" t="s">
        <v>963</v>
      </c>
      <c r="D286" s="13"/>
      <c r="E286" s="13" t="s">
        <v>966</v>
      </c>
      <c r="F286" s="9"/>
      <c r="G286" s="25"/>
      <c r="H286" s="9"/>
      <c r="I286" s="13" t="s">
        <v>707</v>
      </c>
      <c r="J286" s="9"/>
      <c r="K286" s="13"/>
      <c r="L286" s="9"/>
      <c r="M286" s="9"/>
      <c r="N286" s="9"/>
      <c r="O286" s="10" t="str">
        <f t="shared" si="4"/>
        <v>ATILIO CARBONE 3862; Tres de Febrero; Argentina</v>
      </c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24.0" customHeight="1">
      <c r="A287" s="6" t="s">
        <v>967</v>
      </c>
      <c r="B287" s="6" t="s">
        <v>329</v>
      </c>
      <c r="C287" s="6" t="s">
        <v>968</v>
      </c>
      <c r="D287" s="13"/>
      <c r="E287" s="13" t="s">
        <v>969</v>
      </c>
      <c r="F287" s="9"/>
      <c r="G287" s="25"/>
      <c r="H287" s="9"/>
      <c r="I287" s="13" t="s">
        <v>707</v>
      </c>
      <c r="J287" s="9"/>
      <c r="K287" s="13"/>
      <c r="L287" s="9"/>
      <c r="M287" s="9"/>
      <c r="N287" s="9"/>
      <c r="O287" s="10" t="str">
        <f t="shared" si="4"/>
        <v>AV.LA PLATA 3851; Tres de Febrero; Argentina</v>
      </c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ht="24.0" customHeight="1">
      <c r="A288" s="6" t="s">
        <v>970</v>
      </c>
      <c r="B288" s="6" t="s">
        <v>329</v>
      </c>
      <c r="C288" s="6" t="s">
        <v>971</v>
      </c>
      <c r="D288" s="13"/>
      <c r="E288" s="13" t="s">
        <v>972</v>
      </c>
      <c r="F288" s="9">
        <v>-58.5521808</v>
      </c>
      <c r="G288" s="25">
        <v>-34.5994302</v>
      </c>
      <c r="H288" s="9"/>
      <c r="I288" s="13" t="s">
        <v>707</v>
      </c>
      <c r="J288" s="9"/>
      <c r="K288" s="7" t="s">
        <v>21</v>
      </c>
      <c r="L288" s="10"/>
      <c r="M288" s="10"/>
      <c r="N288" s="10"/>
      <c r="O288" s="10" t="str">
        <f t="shared" si="4"/>
        <v>BONIFACINI E/ CUELLI Y PATRICIOS 4079; Tres de Febrero; Argentina</v>
      </c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ht="24.0" customHeight="1">
      <c r="A289" s="6" t="s">
        <v>973</v>
      </c>
      <c r="B289" s="6" t="s">
        <v>40</v>
      </c>
      <c r="C289" s="6" t="s">
        <v>971</v>
      </c>
      <c r="D289" s="13"/>
      <c r="E289" s="13" t="s">
        <v>972</v>
      </c>
      <c r="F289" s="9">
        <v>-58.5521808</v>
      </c>
      <c r="G289" s="25">
        <v>-34.5994302</v>
      </c>
      <c r="H289" s="9"/>
      <c r="I289" s="13" t="s">
        <v>707</v>
      </c>
      <c r="J289" s="9"/>
      <c r="K289" s="7" t="s">
        <v>21</v>
      </c>
      <c r="L289" s="10"/>
      <c r="M289" s="10"/>
      <c r="N289" s="10"/>
      <c r="O289" s="10" t="str">
        <f t="shared" si="4"/>
        <v>BONIFACINI E/ CUELLI Y PATRICIOS 4079; Tres de Febrero; Argentina</v>
      </c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ht="24.0" customHeight="1">
      <c r="A290" s="6" t="s">
        <v>974</v>
      </c>
      <c r="B290" s="6" t="s">
        <v>216</v>
      </c>
      <c r="C290" s="6" t="s">
        <v>971</v>
      </c>
      <c r="D290" s="13"/>
      <c r="E290" s="13" t="s">
        <v>975</v>
      </c>
      <c r="F290" s="9"/>
      <c r="G290" s="25"/>
      <c r="H290" s="9"/>
      <c r="I290" s="13" t="s">
        <v>707</v>
      </c>
      <c r="J290" s="9"/>
      <c r="K290" s="13"/>
      <c r="L290" s="9"/>
      <c r="M290" s="9"/>
      <c r="N290" s="9"/>
      <c r="O290" s="10" t="str">
        <f t="shared" si="4"/>
        <v>BONIFACINI 4079; Tres de Febrero; Argentina</v>
      </c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ht="24.0" customHeight="1">
      <c r="A291" s="6" t="s">
        <v>976</v>
      </c>
      <c r="B291" s="6" t="s">
        <v>216</v>
      </c>
      <c r="C291" s="6" t="s">
        <v>977</v>
      </c>
      <c r="D291" s="13"/>
      <c r="E291" s="13" t="s">
        <v>978</v>
      </c>
      <c r="F291" s="9"/>
      <c r="G291" s="25"/>
      <c r="H291" s="9"/>
      <c r="I291" s="13" t="s">
        <v>707</v>
      </c>
      <c r="J291" s="9"/>
      <c r="K291" s="13"/>
      <c r="L291" s="9"/>
      <c r="M291" s="9"/>
      <c r="N291" s="9"/>
      <c r="O291" s="10" t="str">
        <f t="shared" si="4"/>
        <v>PADRE SILBERMAN 1726; Tres de Febrero; Argentina</v>
      </c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ht="24.0" customHeight="1">
      <c r="A292" s="6" t="s">
        <v>979</v>
      </c>
      <c r="B292" s="6" t="s">
        <v>40</v>
      </c>
      <c r="C292" s="6" t="s">
        <v>980</v>
      </c>
      <c r="D292" s="13"/>
      <c r="E292" s="13" t="s">
        <v>981</v>
      </c>
      <c r="F292" s="9">
        <v>-58.591393</v>
      </c>
      <c r="G292" s="25">
        <v>-34.5761143</v>
      </c>
      <c r="H292" s="9"/>
      <c r="I292" s="13" t="s">
        <v>707</v>
      </c>
      <c r="J292" s="9"/>
      <c r="K292" s="7" t="s">
        <v>21</v>
      </c>
      <c r="L292" s="10"/>
      <c r="M292" s="10"/>
      <c r="N292" s="10"/>
      <c r="O292" s="10" t="str">
        <f t="shared" si="4"/>
        <v>JUAN XXIII E/ VEGA Y ASCASUBI 1150; Tres de Febrero; Argentina</v>
      </c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ht="24.0" customHeight="1">
      <c r="A293" s="6" t="s">
        <v>982</v>
      </c>
      <c r="B293" s="6" t="s">
        <v>40</v>
      </c>
      <c r="C293" s="6" t="s">
        <v>983</v>
      </c>
      <c r="D293" s="26"/>
      <c r="E293" s="13" t="s">
        <v>984</v>
      </c>
      <c r="F293" s="9">
        <v>-58.5680671</v>
      </c>
      <c r="G293" s="25">
        <v>-34.5924138</v>
      </c>
      <c r="H293" s="9"/>
      <c r="I293" s="13" t="s">
        <v>707</v>
      </c>
      <c r="J293" s="9"/>
      <c r="K293" s="7" t="s">
        <v>21</v>
      </c>
      <c r="L293" s="10"/>
      <c r="M293" s="10"/>
      <c r="N293" s="10"/>
      <c r="O293" s="10" t="str">
        <f t="shared" si="4"/>
        <v>4 DE NOVIEMBRE 5020; Tres de Febrero; Argentina</v>
      </c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ht="24.0" customHeight="1">
      <c r="A294" s="6" t="s">
        <v>985</v>
      </c>
      <c r="B294" s="6" t="s">
        <v>329</v>
      </c>
      <c r="C294" s="6" t="s">
        <v>983</v>
      </c>
      <c r="D294" s="26"/>
      <c r="E294" s="13" t="s">
        <v>984</v>
      </c>
      <c r="F294" s="9">
        <v>-58.5680671</v>
      </c>
      <c r="G294" s="25">
        <v>-34.5924138</v>
      </c>
      <c r="H294" s="9"/>
      <c r="I294" s="13" t="s">
        <v>707</v>
      </c>
      <c r="J294" s="9"/>
      <c r="K294" s="7" t="s">
        <v>21</v>
      </c>
      <c r="L294" s="10"/>
      <c r="M294" s="10"/>
      <c r="N294" s="10"/>
      <c r="O294" s="10" t="str">
        <f t="shared" si="4"/>
        <v>4 DE NOVIEMBRE 5020; Tres de Febrero; Argentina</v>
      </c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ht="24.0" customHeight="1">
      <c r="A295" s="6" t="s">
        <v>986</v>
      </c>
      <c r="B295" s="6" t="s">
        <v>329</v>
      </c>
      <c r="C295" s="6" t="s">
        <v>987</v>
      </c>
      <c r="D295" s="13"/>
      <c r="E295" s="13" t="s">
        <v>988</v>
      </c>
      <c r="F295" s="9"/>
      <c r="G295" s="25"/>
      <c r="H295" s="9"/>
      <c r="I295" s="13" t="s">
        <v>707</v>
      </c>
      <c r="J295" s="9"/>
      <c r="K295" s="13"/>
      <c r="L295" s="9"/>
      <c r="M295" s="9"/>
      <c r="N295" s="9"/>
      <c r="O295" s="10" t="str">
        <f t="shared" si="4"/>
        <v>L. N. ALEM 6859; Tres de Febrero; Argentina</v>
      </c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ht="24.0" customHeight="1">
      <c r="A296" s="6" t="s">
        <v>989</v>
      </c>
      <c r="B296" s="6" t="s">
        <v>40</v>
      </c>
      <c r="C296" s="6" t="s">
        <v>990</v>
      </c>
      <c r="D296" s="13"/>
      <c r="E296" s="13" t="s">
        <v>991</v>
      </c>
      <c r="F296" s="9">
        <v>-58.5678544</v>
      </c>
      <c r="G296" s="25">
        <v>-34.5911436</v>
      </c>
      <c r="H296" s="9"/>
      <c r="I296" s="13" t="s">
        <v>707</v>
      </c>
      <c r="J296" s="9"/>
      <c r="K296" s="7" t="s">
        <v>21</v>
      </c>
      <c r="L296" s="10"/>
      <c r="M296" s="10"/>
      <c r="N296" s="10"/>
      <c r="O296" s="10" t="str">
        <f t="shared" si="4"/>
        <v>COCHABAMBA 1130; Tres de Febrero; Argentina</v>
      </c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ht="24.0" customHeight="1">
      <c r="A297" s="6" t="s">
        <v>992</v>
      </c>
      <c r="B297" s="6" t="s">
        <v>329</v>
      </c>
      <c r="C297" s="6" t="s">
        <v>990</v>
      </c>
      <c r="D297" s="13"/>
      <c r="E297" s="13" t="s">
        <v>991</v>
      </c>
      <c r="F297" s="9">
        <v>-58.5678544</v>
      </c>
      <c r="G297" s="25">
        <v>-34.5911436</v>
      </c>
      <c r="H297" s="9"/>
      <c r="I297" s="13" t="s">
        <v>707</v>
      </c>
      <c r="J297" s="9"/>
      <c r="K297" s="7" t="s">
        <v>21</v>
      </c>
      <c r="L297" s="10"/>
      <c r="M297" s="10"/>
      <c r="N297" s="10"/>
      <c r="O297" s="10" t="str">
        <f t="shared" si="4"/>
        <v>COCHABAMBA 1130; Tres de Febrero; Argentina</v>
      </c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ht="24.0" customHeight="1">
      <c r="A298" s="6" t="s">
        <v>993</v>
      </c>
      <c r="B298" s="6" t="s">
        <v>329</v>
      </c>
      <c r="C298" s="6" t="s">
        <v>994</v>
      </c>
      <c r="D298" s="13"/>
      <c r="E298" s="13" t="s">
        <v>995</v>
      </c>
      <c r="F298" s="9"/>
      <c r="G298" s="25"/>
      <c r="H298" s="9"/>
      <c r="I298" s="13" t="s">
        <v>707</v>
      </c>
      <c r="J298" s="9"/>
      <c r="K298" s="13"/>
      <c r="L298" s="9"/>
      <c r="M298" s="9"/>
      <c r="N298" s="9"/>
      <c r="O298" s="10" t="str">
        <f t="shared" si="4"/>
        <v>JUAN XXIII 1150; Tres de Febrero; Argentina</v>
      </c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ht="24.0" customHeight="1">
      <c r="A299" s="6" t="s">
        <v>996</v>
      </c>
      <c r="B299" s="6" t="s">
        <v>329</v>
      </c>
      <c r="C299" s="6" t="s">
        <v>997</v>
      </c>
      <c r="D299" s="13"/>
      <c r="E299" s="13" t="s">
        <v>998</v>
      </c>
      <c r="F299" s="9">
        <v>-58.5745754</v>
      </c>
      <c r="G299" s="25">
        <v>-34.5864025</v>
      </c>
      <c r="H299" s="9"/>
      <c r="I299" s="13" t="s">
        <v>707</v>
      </c>
      <c r="J299" s="9"/>
      <c r="K299" s="7" t="s">
        <v>21</v>
      </c>
      <c r="L299" s="10"/>
      <c r="M299" s="10"/>
      <c r="N299" s="10"/>
      <c r="O299" s="10" t="str">
        <f t="shared" si="4"/>
        <v>JOSE HERNANDEZ 945; Tres de Febrero; Argentina</v>
      </c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ht="24.0" customHeight="1">
      <c r="A300" s="6" t="s">
        <v>999</v>
      </c>
      <c r="B300" s="6" t="s">
        <v>40</v>
      </c>
      <c r="C300" s="6" t="s">
        <v>1000</v>
      </c>
      <c r="D300" s="13"/>
      <c r="E300" s="13" t="s">
        <v>1001</v>
      </c>
      <c r="F300" s="9">
        <v>-58.5709758</v>
      </c>
      <c r="G300" s="25">
        <v>-34.5923939</v>
      </c>
      <c r="H300" s="9"/>
      <c r="I300" s="13" t="s">
        <v>707</v>
      </c>
      <c r="J300" s="9"/>
      <c r="K300" s="7" t="s">
        <v>21</v>
      </c>
      <c r="L300" s="10"/>
      <c r="M300" s="10"/>
      <c r="N300" s="10"/>
      <c r="O300" s="10" t="str">
        <f t="shared" si="4"/>
        <v>MARCO POLO 5284; Tres de Febrero; Argentina</v>
      </c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ht="24.0" customHeight="1">
      <c r="A301" s="6" t="s">
        <v>1002</v>
      </c>
      <c r="B301" s="6" t="s">
        <v>329</v>
      </c>
      <c r="C301" s="6" t="s">
        <v>1000</v>
      </c>
      <c r="D301" s="13"/>
      <c r="E301" s="13" t="s">
        <v>1001</v>
      </c>
      <c r="F301" s="9">
        <v>-58.5709758</v>
      </c>
      <c r="G301" s="25">
        <v>-34.5923939</v>
      </c>
      <c r="H301" s="9"/>
      <c r="I301" s="13" t="s">
        <v>707</v>
      </c>
      <c r="J301" s="9"/>
      <c r="K301" s="7" t="s">
        <v>21</v>
      </c>
      <c r="L301" s="10"/>
      <c r="M301" s="10"/>
      <c r="N301" s="10"/>
      <c r="O301" s="10" t="str">
        <f t="shared" si="4"/>
        <v>MARCO POLO 5284; Tres de Febrero; Argentina</v>
      </c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ht="24.0" customHeight="1">
      <c r="A302" s="6" t="s">
        <v>1003</v>
      </c>
      <c r="B302" s="6" t="s">
        <v>40</v>
      </c>
      <c r="C302" s="6" t="s">
        <v>1004</v>
      </c>
      <c r="D302" s="13"/>
      <c r="E302" s="13" t="s">
        <v>998</v>
      </c>
      <c r="F302" s="9">
        <v>-58.5745754</v>
      </c>
      <c r="G302" s="25">
        <v>-34.5864025</v>
      </c>
      <c r="H302" s="9"/>
      <c r="I302" s="13" t="s">
        <v>707</v>
      </c>
      <c r="J302" s="9"/>
      <c r="K302" s="7" t="s">
        <v>21</v>
      </c>
      <c r="L302" s="10"/>
      <c r="M302" s="10"/>
      <c r="N302" s="10"/>
      <c r="O302" s="10" t="str">
        <f t="shared" si="4"/>
        <v>JOSE HERNANDEZ 945; Tres de Febrero; Argentina</v>
      </c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ht="24.0" customHeight="1">
      <c r="A303" s="6" t="s">
        <v>1005</v>
      </c>
      <c r="B303" s="6" t="s">
        <v>40</v>
      </c>
      <c r="C303" s="6" t="s">
        <v>1006</v>
      </c>
      <c r="D303" s="13"/>
      <c r="E303" s="13" t="s">
        <v>1007</v>
      </c>
      <c r="F303" s="9"/>
      <c r="G303" s="25"/>
      <c r="H303" s="9"/>
      <c r="I303" s="13" t="s">
        <v>707</v>
      </c>
      <c r="J303" s="9"/>
      <c r="K303" s="13"/>
      <c r="L303" s="9"/>
      <c r="M303" s="9"/>
      <c r="N303" s="9"/>
      <c r="O303" s="10" t="str">
        <f t="shared" si="4"/>
        <v>EDUARDO HUERGO 720; Tres de Febrero; Argentina</v>
      </c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ht="24.0" customHeight="1">
      <c r="A304" s="6" t="s">
        <v>1008</v>
      </c>
      <c r="B304" s="6" t="s">
        <v>329</v>
      </c>
      <c r="C304" s="6" t="s">
        <v>1006</v>
      </c>
      <c r="D304" s="13"/>
      <c r="E304" s="13" t="s">
        <v>1009</v>
      </c>
      <c r="F304" s="9">
        <v>-58.5762764</v>
      </c>
      <c r="G304" s="25">
        <v>-34.582243</v>
      </c>
      <c r="H304" s="9"/>
      <c r="I304" s="13" t="s">
        <v>707</v>
      </c>
      <c r="J304" s="9"/>
      <c r="K304" s="7" t="s">
        <v>21</v>
      </c>
      <c r="L304" s="10"/>
      <c r="M304" s="10"/>
      <c r="N304" s="10"/>
      <c r="O304" s="10" t="str">
        <f t="shared" si="4"/>
        <v>ECHEVERRIA 6245; Tres de Febrero; Argentina</v>
      </c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ht="24.0" customHeight="1">
      <c r="A305" s="6" t="s">
        <v>1010</v>
      </c>
      <c r="B305" s="6" t="s">
        <v>216</v>
      </c>
      <c r="C305" s="6" t="s">
        <v>1011</v>
      </c>
      <c r="D305" s="13"/>
      <c r="E305" s="13" t="s">
        <v>1012</v>
      </c>
      <c r="F305" s="9"/>
      <c r="G305" s="25"/>
      <c r="H305" s="9"/>
      <c r="I305" s="13" t="s">
        <v>707</v>
      </c>
      <c r="J305" s="9"/>
      <c r="K305" s="13"/>
      <c r="L305" s="9"/>
      <c r="M305" s="9"/>
      <c r="N305" s="9"/>
      <c r="O305" s="10" t="str">
        <f t="shared" si="4"/>
        <v>4 DE NOVIEMBRE E/LOS HORNOS Y BALDINI 5020; Tres de Febrero; Argentina</v>
      </c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ht="24.0" customHeight="1">
      <c r="A306" s="6" t="s">
        <v>1013</v>
      </c>
      <c r="B306" s="6" t="s">
        <v>216</v>
      </c>
      <c r="C306" s="6" t="s">
        <v>1014</v>
      </c>
      <c r="D306" s="13"/>
      <c r="E306" s="13" t="s">
        <v>1015</v>
      </c>
      <c r="F306" s="9"/>
      <c r="G306" s="25"/>
      <c r="H306" s="9"/>
      <c r="I306" s="13" t="s">
        <v>707</v>
      </c>
      <c r="J306" s="9"/>
      <c r="K306" s="13"/>
      <c r="L306" s="9"/>
      <c r="M306" s="9"/>
      <c r="N306" s="9"/>
      <c r="O306" s="10" t="str">
        <f t="shared" si="4"/>
        <v>ECHEVERRIA 5861; Tres de Febrero; Argentina</v>
      </c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ht="24.0" customHeight="1">
      <c r="A307" s="6" t="s">
        <v>1016</v>
      </c>
      <c r="B307" s="6" t="s">
        <v>216</v>
      </c>
      <c r="C307" s="6" t="s">
        <v>1017</v>
      </c>
      <c r="D307" s="13"/>
      <c r="E307" s="13" t="s">
        <v>1009</v>
      </c>
      <c r="F307" s="9">
        <v>-58.5762764</v>
      </c>
      <c r="G307" s="25">
        <v>-34.582243</v>
      </c>
      <c r="H307" s="9"/>
      <c r="I307" s="13" t="s">
        <v>707</v>
      </c>
      <c r="J307" s="9"/>
      <c r="K307" s="7" t="s">
        <v>21</v>
      </c>
      <c r="L307" s="10"/>
      <c r="M307" s="10"/>
      <c r="N307" s="10"/>
      <c r="O307" s="10" t="str">
        <f t="shared" si="4"/>
        <v>ECHEVERRIA 6245; Tres de Febrero; Argentina</v>
      </c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ht="24.0" customHeight="1">
      <c r="A308" s="6" t="s">
        <v>1018</v>
      </c>
      <c r="B308" s="6" t="s">
        <v>216</v>
      </c>
      <c r="C308" s="6" t="s">
        <v>1019</v>
      </c>
      <c r="D308" s="13"/>
      <c r="E308" s="13" t="s">
        <v>1020</v>
      </c>
      <c r="F308" s="9"/>
      <c r="G308" s="25"/>
      <c r="H308" s="9"/>
      <c r="I308" s="13" t="s">
        <v>707</v>
      </c>
      <c r="J308" s="9"/>
      <c r="K308" s="13"/>
      <c r="L308" s="9"/>
      <c r="M308" s="9"/>
      <c r="N308" s="9"/>
      <c r="O308" s="10" t="str">
        <f t="shared" si="4"/>
        <v>VICTOR HUGO 5651; Tres de Febrero; Argentina</v>
      </c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ht="24.0" customHeight="1">
      <c r="A309" s="6" t="s">
        <v>1021</v>
      </c>
      <c r="B309" s="6" t="s">
        <v>216</v>
      </c>
      <c r="C309" s="6" t="s">
        <v>1022</v>
      </c>
      <c r="D309" s="13"/>
      <c r="E309" s="13" t="s">
        <v>1023</v>
      </c>
      <c r="F309" s="9"/>
      <c r="G309" s="25"/>
      <c r="H309" s="9"/>
      <c r="I309" s="13" t="s">
        <v>707</v>
      </c>
      <c r="J309" s="9"/>
      <c r="K309" s="13"/>
      <c r="L309" s="9"/>
      <c r="M309" s="9"/>
      <c r="N309" s="9"/>
      <c r="O309" s="10" t="str">
        <f t="shared" si="4"/>
        <v>SARGENTO PALMA 1149; Tres de Febrero; Argentina</v>
      </c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ht="24.0" customHeight="1">
      <c r="A310" s="6" t="s">
        <v>1024</v>
      </c>
      <c r="B310" s="6" t="s">
        <v>40</v>
      </c>
      <c r="C310" s="6" t="s">
        <v>1025</v>
      </c>
      <c r="D310" s="13"/>
      <c r="E310" s="13" t="s">
        <v>1026</v>
      </c>
      <c r="F310" s="9"/>
      <c r="G310" s="25"/>
      <c r="H310" s="9"/>
      <c r="I310" s="13" t="s">
        <v>707</v>
      </c>
      <c r="J310" s="9"/>
      <c r="K310" s="13"/>
      <c r="L310" s="9"/>
      <c r="M310" s="9"/>
      <c r="N310" s="9"/>
      <c r="O310" s="10" t="str">
        <f t="shared" si="4"/>
        <v>COLON 1220 SAENZ PEÑA; Tres de Febrero; Argentina</v>
      </c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ht="24.0" customHeight="1">
      <c r="A311" s="6" t="s">
        <v>873</v>
      </c>
      <c r="B311" s="6" t="s">
        <v>216</v>
      </c>
      <c r="C311" s="6" t="s">
        <v>1027</v>
      </c>
      <c r="D311" s="13"/>
      <c r="E311" s="13" t="s">
        <v>1028</v>
      </c>
      <c r="F311" s="9"/>
      <c r="G311" s="25"/>
      <c r="H311" s="9"/>
      <c r="I311" s="13" t="s">
        <v>707</v>
      </c>
      <c r="J311" s="9"/>
      <c r="K311" s="13"/>
      <c r="L311" s="9"/>
      <c r="M311" s="9"/>
      <c r="N311" s="9"/>
      <c r="O311" s="10" t="str">
        <f t="shared" si="4"/>
        <v>LITUANIA 3144; Tres de Febrero; Argentina</v>
      </c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ht="24.0" customHeight="1">
      <c r="A312" s="10"/>
      <c r="B312" s="6" t="s">
        <v>1029</v>
      </c>
      <c r="C312" s="7" t="s">
        <v>1030</v>
      </c>
      <c r="D312" s="7" t="s">
        <v>1031</v>
      </c>
      <c r="E312" s="7" t="s">
        <v>1031</v>
      </c>
      <c r="F312" s="9"/>
      <c r="G312" s="25"/>
      <c r="H312" s="27" t="s">
        <v>1032</v>
      </c>
      <c r="I312" s="13" t="s">
        <v>1033</v>
      </c>
      <c r="J312" s="10"/>
      <c r="K312" s="8"/>
      <c r="L312" s="10"/>
      <c r="M312" s="10"/>
      <c r="N312" s="10"/>
      <c r="O312" s="10" t="str">
        <f t="shared" si="4"/>
        <v>Mosconi 2736
Sáenz Peña (B1674AHF); Tres de Febrero; Argentina</v>
      </c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ht="24.0" customHeight="1">
      <c r="A313" s="10"/>
      <c r="B313" s="6" t="s">
        <v>1029</v>
      </c>
      <c r="C313" s="13" t="s">
        <v>1034</v>
      </c>
      <c r="D313" s="13"/>
      <c r="E313" s="7" t="s">
        <v>1035</v>
      </c>
      <c r="F313" s="9"/>
      <c r="G313" s="25"/>
      <c r="H313" s="27" t="s">
        <v>1036</v>
      </c>
      <c r="I313" s="13" t="s">
        <v>1033</v>
      </c>
      <c r="J313" s="10"/>
      <c r="K313" s="8"/>
      <c r="L313" s="10"/>
      <c r="M313" s="10"/>
      <c r="N313" s="10"/>
      <c r="O313" s="10" t="str">
        <f t="shared" si="4"/>
        <v>Valentín Gómez 4828/38; Tres de Febrero; Argentina</v>
      </c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ht="24.0" customHeight="1">
      <c r="A314" s="10"/>
      <c r="B314" s="7" t="s">
        <v>1029</v>
      </c>
      <c r="C314" s="13" t="s">
        <v>1037</v>
      </c>
      <c r="D314" s="13"/>
      <c r="E314" s="7" t="s">
        <v>1038</v>
      </c>
      <c r="F314" s="9"/>
      <c r="G314" s="25"/>
      <c r="H314" s="27" t="s">
        <v>1039</v>
      </c>
      <c r="I314" s="13" t="s">
        <v>1033</v>
      </c>
      <c r="J314" s="10"/>
      <c r="K314" s="8"/>
      <c r="L314" s="10"/>
      <c r="M314" s="10"/>
      <c r="N314" s="10"/>
      <c r="O314" s="10" t="str">
        <f t="shared" si="4"/>
        <v>Valentín Gómez 4752; Tres de Febrero; Argentina</v>
      </c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ht="24.0" customHeight="1">
      <c r="A315" s="10"/>
      <c r="B315" s="7" t="s">
        <v>1029</v>
      </c>
      <c r="C315" s="13" t="s">
        <v>1040</v>
      </c>
      <c r="D315" s="13"/>
      <c r="E315" s="7" t="s">
        <v>1041</v>
      </c>
      <c r="F315" s="9"/>
      <c r="G315" s="25"/>
      <c r="H315" s="27" t="s">
        <v>1042</v>
      </c>
      <c r="I315" s="13" t="s">
        <v>1033</v>
      </c>
      <c r="J315" s="10"/>
      <c r="K315" s="8"/>
      <c r="L315" s="10"/>
      <c r="M315" s="10"/>
      <c r="N315" s="10"/>
      <c r="O315" s="10" t="str">
        <f t="shared" si="4"/>
        <v>Av. San Martín 2921; Tres de Febrero; Argentina</v>
      </c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ht="24.0" customHeight="1">
      <c r="A316" s="10"/>
      <c r="B316" s="7" t="s">
        <v>1029</v>
      </c>
      <c r="C316" s="13" t="s">
        <v>1043</v>
      </c>
      <c r="D316" s="13"/>
      <c r="E316" s="7" t="s">
        <v>1044</v>
      </c>
      <c r="F316" s="9"/>
      <c r="G316" s="25"/>
      <c r="H316" s="27" t="s">
        <v>1045</v>
      </c>
      <c r="I316" s="13" t="s">
        <v>1033</v>
      </c>
      <c r="J316" s="10"/>
      <c r="K316" s="8"/>
      <c r="L316" s="10"/>
      <c r="M316" s="10"/>
      <c r="N316" s="10"/>
      <c r="O316" s="10" t="str">
        <f t="shared" si="4"/>
        <v>Av. San Martín 2508; Tres de Febrero; Argentina</v>
      </c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ht="24.0" customHeight="1">
      <c r="A317" s="10"/>
      <c r="B317" s="6" t="s">
        <v>1029</v>
      </c>
      <c r="C317" s="13" t="s">
        <v>1046</v>
      </c>
      <c r="D317" s="13"/>
      <c r="E317" s="13" t="s">
        <v>1047</v>
      </c>
      <c r="F317" s="9"/>
      <c r="G317" s="25"/>
      <c r="H317" s="9"/>
      <c r="I317" s="13" t="s">
        <v>1033</v>
      </c>
      <c r="J317" s="10"/>
      <c r="K317" s="8"/>
      <c r="L317" s="10"/>
      <c r="M317" s="10"/>
      <c r="N317" s="10"/>
      <c r="O317" s="10" t="str">
        <f t="shared" si="4"/>
        <v>Dr. Alfredo Springolo S/N - Entre Pje. Marín y Benito Lynch
Saenz Peña; Tres de Febrero; Argentina</v>
      </c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ht="24.0" customHeight="1">
      <c r="A318" s="10"/>
      <c r="B318" s="6" t="s">
        <v>1029</v>
      </c>
      <c r="C318" s="7" t="s">
        <v>1048</v>
      </c>
      <c r="D318" s="13"/>
      <c r="E318" s="13" t="s">
        <v>1049</v>
      </c>
      <c r="F318" s="9"/>
      <c r="G318" s="25"/>
      <c r="H318" s="27" t="s">
        <v>1050</v>
      </c>
      <c r="I318" s="13" t="s">
        <v>1033</v>
      </c>
      <c r="J318" s="10"/>
      <c r="K318" s="8"/>
      <c r="L318" s="10"/>
      <c r="M318" s="10"/>
      <c r="N318" s="10"/>
      <c r="O318" s="10" t="str">
        <f t="shared" si="4"/>
        <v>Los Aromos 6231
Palomar ; Tres de Febrero; Argentina</v>
      </c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ht="24.0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ht="24.0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ht="172.5" hidden="1" customHeight="1">
      <c r="A321" s="28"/>
      <c r="B321" s="10"/>
      <c r="C321" s="28" t="s">
        <v>1051</v>
      </c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ht="24.0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ht="24.0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ht="24.0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ht="24.0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ht="24.0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ht="24.0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ht="24.0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ht="24.0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ht="24.0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ht="24.0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ht="24.0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ht="24.0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ht="24.0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ht="24.0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ht="24.0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ht="24.0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ht="24.0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ht="24.0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ht="24.0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ht="24.0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ht="24.0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ht="24.0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ht="24.0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ht="24.0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ht="24.0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ht="24.0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ht="24.0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ht="24.0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ht="24.0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ht="24.0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ht="24.0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ht="24.0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ht="24.0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ht="24.0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ht="24.0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ht="24.0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ht="24.0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ht="24.0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ht="24.0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ht="24.0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ht="24.0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ht="24.0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ht="24.0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ht="24.0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ht="24.0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ht="24.0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ht="24.0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ht="24.0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ht="24.0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ht="24.0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ht="24.0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ht="24.0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ht="24.0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ht="24.0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ht="24.0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ht="24.0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ht="24.0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ht="24.0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ht="24.0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ht="24.0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ht="24.0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ht="24.0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ht="24.0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ht="24.0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ht="24.0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ht="24.0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ht="24.0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ht="24.0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ht="24.0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ht="24.0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ht="24.0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ht="24.0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ht="24.0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ht="24.0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ht="24.0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ht="24.0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ht="24.0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ht="24.0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ht="24.0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ht="24.0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ht="24.0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ht="24.0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ht="24.0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ht="24.0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ht="24.0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ht="24.0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ht="24.0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ht="24.0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ht="24.0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ht="24.0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ht="24.0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ht="24.0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ht="24.0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ht="24.0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ht="24.0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ht="24.0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ht="24.0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ht="24.0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ht="24.0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ht="24.0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ht="24.0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ht="24.0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ht="24.0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ht="24.0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ht="24.0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ht="24.0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ht="24.0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ht="24.0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ht="24.0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ht="24.0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ht="24.0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ht="24.0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ht="24.0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ht="24.0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ht="24.0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ht="24.0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ht="24.0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ht="24.0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ht="24.0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ht="24.0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ht="24.0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ht="24.0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ht="24.0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ht="24.0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ht="24.0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ht="24.0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ht="24.0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ht="24.0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ht="24.0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ht="24.0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ht="24.0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ht="24.0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ht="24.0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ht="24.0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ht="24.0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ht="24.0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ht="24.0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ht="24.0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ht="24.0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ht="24.0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ht="24.0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ht="24.0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ht="24.0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ht="24.0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ht="24.0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ht="24.0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ht="24.0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ht="24.0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ht="24.0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ht="24.0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ht="24.0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ht="24.0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ht="24.0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ht="24.0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ht="24.0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ht="24.0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ht="24.0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ht="24.0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ht="24.0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ht="24.0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ht="24.0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ht="24.0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ht="24.0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ht="24.0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ht="24.0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ht="24.0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ht="24.0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ht="24.0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ht="24.0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ht="24.0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ht="24.0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ht="24.0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ht="24.0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ht="24.0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ht="24.0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ht="24.0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ht="24.0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ht="24.0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ht="24.0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ht="24.0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ht="24.0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ht="24.0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ht="24.0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ht="24.0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ht="24.0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ht="24.0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ht="24.0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ht="24.0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ht="24.0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ht="24.0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ht="24.0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ht="24.0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ht="24.0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ht="24.0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ht="24.0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ht="24.0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ht="24.0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ht="24.0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ht="24.0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ht="24.0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ht="24.0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ht="24.0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ht="24.0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ht="24.0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ht="24.0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ht="24.0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ht="24.0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ht="24.0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ht="24.0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ht="24.0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ht="24.0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ht="24.0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ht="24.0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ht="24.0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ht="24.0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ht="24.0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ht="24.0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ht="24.0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ht="24.0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ht="24.0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ht="24.0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ht="24.0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ht="24.0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ht="24.0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ht="24.0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ht="24.0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ht="24.0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ht="24.0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ht="24.0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ht="24.0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ht="24.0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ht="24.0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ht="24.0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ht="24.0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ht="24.0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ht="24.0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ht="24.0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ht="24.0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ht="24.0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ht="24.0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ht="24.0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ht="24.0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ht="24.0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ht="24.0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ht="24.0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ht="24.0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ht="24.0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ht="24.0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ht="24.0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ht="24.0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ht="24.0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ht="24.0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ht="24.0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ht="24.0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ht="24.0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ht="24.0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ht="24.0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ht="24.0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ht="24.0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ht="24.0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ht="24.0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ht="24.0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ht="24.0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ht="24.0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ht="24.0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ht="24.0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ht="24.0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ht="24.0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ht="24.0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ht="24.0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ht="24.0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ht="24.0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ht="24.0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ht="24.0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ht="24.0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ht="24.0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ht="24.0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ht="24.0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ht="24.0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ht="24.0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ht="24.0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ht="24.0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ht="24.0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ht="24.0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ht="24.0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ht="24.0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ht="24.0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ht="24.0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ht="24.0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ht="24.0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ht="24.0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ht="24.0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ht="24.0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ht="24.0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ht="24.0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ht="24.0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ht="24.0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ht="24.0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ht="24.0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ht="24.0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ht="24.0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ht="24.0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ht="24.0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ht="24.0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ht="24.0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ht="24.0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ht="24.0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ht="24.0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ht="24.0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ht="24.0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ht="24.0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ht="24.0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ht="24.0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ht="24.0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ht="24.0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ht="24.0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ht="24.0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ht="24.0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ht="24.0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ht="24.0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ht="24.0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ht="24.0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ht="24.0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ht="24.0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ht="24.0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ht="24.0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ht="24.0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ht="24.0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ht="24.0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ht="24.0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ht="24.0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ht="24.0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ht="24.0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ht="24.0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ht="24.0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ht="24.0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ht="24.0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ht="24.0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ht="24.0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ht="24.0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ht="24.0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ht="24.0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ht="24.0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ht="24.0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ht="24.0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ht="24.0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ht="24.0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ht="24.0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ht="24.0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ht="24.0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ht="24.0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ht="24.0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ht="24.0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ht="24.0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ht="24.0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ht="24.0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ht="24.0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ht="24.0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ht="24.0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ht="24.0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ht="24.0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ht="24.0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ht="24.0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ht="24.0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ht="24.0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ht="24.0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ht="24.0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ht="24.0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ht="24.0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ht="24.0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ht="24.0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ht="24.0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ht="24.0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ht="24.0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ht="24.0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ht="24.0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ht="24.0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ht="24.0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ht="24.0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ht="24.0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ht="24.0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ht="24.0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ht="24.0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ht="24.0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ht="24.0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ht="24.0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ht="24.0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ht="24.0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ht="24.0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ht="24.0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ht="24.0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ht="24.0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ht="24.0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ht="24.0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ht="24.0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ht="24.0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ht="24.0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ht="24.0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ht="24.0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ht="24.0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ht="24.0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ht="24.0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ht="24.0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ht="24.0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ht="24.0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ht="24.0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ht="24.0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ht="24.0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ht="24.0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ht="24.0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ht="24.0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ht="24.0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ht="24.0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ht="24.0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ht="24.0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ht="24.0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ht="24.0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ht="24.0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ht="24.0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ht="24.0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ht="24.0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ht="24.0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ht="24.0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ht="24.0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ht="24.0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ht="24.0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ht="24.0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ht="24.0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ht="24.0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ht="24.0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ht="24.0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ht="24.0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ht="24.0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ht="24.0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ht="24.0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ht="24.0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ht="24.0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ht="24.0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ht="24.0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ht="24.0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ht="24.0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ht="24.0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ht="24.0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ht="24.0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ht="24.0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ht="24.0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ht="24.0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ht="24.0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ht="24.0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ht="24.0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ht="24.0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ht="24.0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ht="24.0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ht="24.0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ht="24.0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ht="24.0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ht="24.0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ht="24.0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ht="24.0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ht="24.0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ht="24.0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ht="24.0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ht="24.0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ht="24.0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ht="24.0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ht="24.0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ht="24.0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ht="24.0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ht="24.0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ht="24.0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ht="24.0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ht="24.0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ht="24.0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ht="24.0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ht="24.0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ht="24.0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ht="24.0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ht="24.0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ht="24.0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ht="24.0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ht="24.0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ht="24.0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ht="24.0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ht="24.0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ht="24.0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ht="24.0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ht="24.0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ht="24.0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ht="24.0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ht="24.0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ht="24.0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ht="24.0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ht="24.0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ht="24.0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ht="24.0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ht="24.0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ht="24.0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ht="24.0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ht="24.0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ht="24.0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ht="24.0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ht="24.0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ht="24.0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ht="24.0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ht="24.0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ht="24.0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ht="24.0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ht="24.0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ht="24.0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ht="24.0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ht="24.0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ht="24.0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ht="24.0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ht="24.0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ht="24.0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ht="24.0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ht="24.0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ht="24.0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ht="24.0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ht="24.0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ht="24.0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ht="24.0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ht="24.0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ht="24.0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ht="24.0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ht="24.0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ht="24.0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ht="24.0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ht="24.0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ht="24.0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ht="24.0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ht="24.0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ht="24.0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ht="24.0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ht="24.0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ht="24.0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ht="24.0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ht="24.0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ht="24.0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ht="24.0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ht="24.0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ht="24.0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ht="24.0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ht="24.0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ht="24.0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ht="24.0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ht="24.0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ht="24.0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ht="24.0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ht="24.0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ht="24.0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ht="24.0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ht="24.0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ht="24.0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ht="24.0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ht="24.0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ht="24.0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ht="24.0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ht="24.0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ht="24.0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ht="24.0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ht="24.0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ht="24.0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ht="24.0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ht="24.0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ht="24.0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ht="24.0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ht="24.0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ht="24.0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ht="24.0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ht="24.0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ht="24.0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ht="24.0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ht="24.0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ht="24.0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ht="24.0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ht="24.0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ht="24.0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ht="24.0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ht="24.0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ht="24.0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ht="24.0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ht="24.0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ht="24.0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ht="24.0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ht="24.0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ht="24.0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ht="24.0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ht="24.0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ht="24.0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ht="24.0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ht="24.0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ht="24.0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ht="24.0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ht="24.0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ht="24.0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ht="24.0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ht="24.0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ht="24.0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ht="24.0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ht="24.0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ht="24.0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ht="24.0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ht="24.0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ht="24.0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ht="24.0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ht="24.0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ht="24.0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ht="24.0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ht="24.0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ht="24.0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ht="24.0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ht="24.0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ht="24.0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ht="24.0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ht="24.0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ht="24.0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ht="24.0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ht="24.0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ht="24.0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ht="24.0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ht="24.0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ht="24.0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ht="24.0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ht="24.0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ht="24.0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ht="24.0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ht="24.0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ht="24.0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ht="24.0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ht="24.0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ht="24.0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ht="24.0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ht="24.0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ht="24.0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ht="24.0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ht="24.0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ht="24.0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ht="24.0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ht="24.0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ht="24.0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ht="24.0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ht="24.0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ht="24.0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ht="24.0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ht="24.0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ht="24.0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ht="24.0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ht="24.0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ht="24.0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ht="24.0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ht="24.0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ht="24.0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ht="24.0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ht="24.0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ht="24.0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ht="24.0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ht="24.0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ht="24.0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ht="24.0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ht="24.0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ht="24.0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ht="24.0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ht="24.0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ht="24.0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 ht="24.0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 ht="24.0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 ht="24.0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 ht="24.0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 ht="24.0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 ht="24.0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 ht="24.0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 ht="24.0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 ht="24.0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 ht="24.0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 ht="24.0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 ht="24.0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 ht="24.0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 ht="24.0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  <row r="1001" ht="24.0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</row>
    <row r="1002" ht="24.0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</row>
    <row r="1003" ht="24.0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</row>
    <row r="1004" ht="24.0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</row>
    <row r="1005" ht="24.0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</row>
    <row r="1006" ht="24.0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</row>
    <row r="1007" ht="24.0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</row>
    <row r="1008" ht="24.0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</row>
    <row r="1009" ht="24.0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</row>
    <row r="1010" ht="24.0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</row>
    <row r="1011" ht="24.0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</row>
    <row r="1012" ht="24.0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</row>
    <row r="1013" ht="24.0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</row>
    <row r="1014" ht="24.0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</row>
    <row r="1015" ht="24.0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</row>
    <row r="1016" ht="24.0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</row>
    <row r="1017" ht="24.0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</row>
    <row r="1018" ht="24.0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</row>
    <row r="1019" ht="24.0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</row>
    <row r="1020" ht="24.0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</row>
    <row r="1021" ht="24.0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</row>
    <row r="1022" ht="24.0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</row>
    <row r="1023" ht="24.0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</row>
    <row r="1024" ht="24.0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</row>
    <row r="1025" ht="24.0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</row>
    <row r="1026" ht="24.0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</row>
    <row r="1027" ht="24.0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</row>
    <row r="1028" ht="24.0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</row>
    <row r="1029" ht="24.0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</row>
    <row r="1030" ht="24.0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</row>
    <row r="1031" ht="24.0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</row>
    <row r="1032" ht="24.0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</row>
    <row r="1033" ht="24.0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</row>
    <row r="1034" ht="24.0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</row>
    <row r="1035" ht="24.0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</row>
    <row r="1036" ht="24.0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</row>
    <row r="1037" ht="24.0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</row>
    <row r="1038" ht="24.0" customHeight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</row>
    <row r="1039" ht="24.0" customHeight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</row>
    <row r="1040" ht="24.0" customHeight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</row>
    <row r="1041" ht="24.0" customHeight="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</row>
    <row r="1042" ht="24.0" customHeight="1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</row>
    <row r="1043" ht="24.0" customHeight="1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</row>
    <row r="1044" ht="24.0" customHeight="1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</row>
    <row r="1045" ht="24.0" customHeight="1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</row>
    <row r="1046" ht="24.0" customHeight="1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</row>
    <row r="1047" ht="24.0" customHeight="1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</row>
    <row r="1048" ht="24.0" customHeight="1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</row>
    <row r="1049" ht="24.0" customHeight="1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</row>
    <row r="1050" ht="24.0" customHeight="1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</row>
    <row r="1051" ht="24.0" customHeight="1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</row>
    <row r="1052" ht="24.0" customHeight="1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</row>
    <row r="1053" ht="24.0" customHeight="1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</row>
    <row r="1054" ht="24.0" customHeight="1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</row>
    <row r="1055" ht="24.0" customHeight="1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</row>
    <row r="1056" ht="24.0" customHeight="1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</row>
    <row r="1057" ht="24.0" customHeight="1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</row>
    <row r="1058" ht="24.0" customHeight="1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</row>
    <row r="1059" ht="24.0" customHeight="1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</row>
  </sheetData>
  <autoFilter ref="$A$1:$AC$1059"/>
  <mergeCells count="1">
    <mergeCell ref="C321:F321"/>
  </mergeCells>
  <conditionalFormatting sqref="A2:B318 C2:C312 D2:G172 H2:H173 I2:I318 J2:J215 K2:K318 D178:G178 D180:G184 D312 E312:E316 C318">
    <cfRule type="expression" dxfId="0" priority="1">
      <formula>$K2:$K1059=Validado</formula>
    </cfRule>
  </conditionalFormatting>
  <dataValidations>
    <dataValidation type="list" allowBlank="1" showErrorMessage="1" sqref="K2:K318">
      <formula1>"Validado,S/ Validar"</formula1>
    </dataValidation>
    <dataValidation type="list" allowBlank="1" showErrorMessage="1" sqref="B2:B318">
      <formula1>"ESPECIAL,PRIMARIA,SECUNDARIA,JARDIN,DISPOSITIVO,ADULTOS,UNIVERSIDAD TRES DE FEBRERO"</formula1>
    </dataValidation>
    <dataValidation type="list" allowBlank="1" showErrorMessage="1" sqref="I2:I318">
      <formula1>"PBA,MUNICIPAL,PRIVADA,NACIONAL"</formula1>
    </dataValidation>
    <dataValidation type="list" allowBlank="1" showErrorMessage="1" sqref="J2:J318">
      <formula1>"M-T,M-T-V,M,T,J-C,T-T,T-V"</formula1>
    </dataValidation>
  </dataValidations>
  <hyperlinks>
    <hyperlink r:id="rId1" ref="H312"/>
    <hyperlink r:id="rId2" ref="H313"/>
    <hyperlink r:id="rId3" ref="H314"/>
    <hyperlink r:id="rId4" ref="H315"/>
    <hyperlink r:id="rId5" ref="H316"/>
    <hyperlink r:id="rId6" ref="H31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